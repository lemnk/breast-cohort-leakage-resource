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fdace35ee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2a3b908a2116435a"/>
    <x:sheet xmlns:r="http://schemas.openxmlformats.org/officeDocument/2006/relationships" name="Summary" sheetId="2" r:id="Rf1e8748cb4e245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7">
    <x:font>
      <x:sz val="11"/>
      <x:name val="Carlito"/>
    </x:font>
    <x:font>
      <x:sz val="9"/>
      <x:color rgb="FF1F2937"/>
      <x:name val="Arial"/>
    </x:font>
    <x:font>
      <x:b/>
      <x:sz val="9"/>
      <x:color rgb="FFFFFFFF"/>
      <x:name val="Arial"/>
    </x:font>
    <x:font>
      <x:b/>
      <x:sz val="15"/>
      <x:color rgb="FF17365D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4">
    <x:border/>
    <x:border/>
    <x:border>
      <x:bottom style="thin">
        <x:color rgb="FF9CA3AF"/>
      </x:bottom>
    </x:border>
    <x:border>
      <x:bottom style="thin">
        <x:color rgb="FF9CA3AF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20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0"/>
    </x:xf>
    <x:xf numFmtId="200" fontId="1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0"/>
    </x:xf>
    <x:xf numFmtId="200" fontId="1" fillId="0" borderId="1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0"/>
    </x:xf>
    <x:xf numFmtId="0" fontId="1" fillId="3" borderId="1" xfId="0" applyNumberFormat="1" applyFont="1" applyFill="1" applyBorder="1" applyAlignment="1">
      <x:alignment vertical="top" wrapText="0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1" xfId="0" applyNumberFormat="1" applyFont="1" applyFill="1" applyBorder="1"/>
    <x:xf numFmtId="201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E8F5E9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c44a4111334e9e" /><Relationship Type="http://schemas.openxmlformats.org/officeDocument/2006/relationships/theme" Target="/xl/theme/theme1.xml" Id="R7b6f44b7f8fc4a11" /><Relationship Type="http://schemas.openxmlformats.org/officeDocument/2006/relationships/sharedStrings" Target="/xl/sharedStrings.xml" Id="R78667578927d4a25" /><Relationship Type="http://schemas.openxmlformats.org/officeDocument/2006/relationships/worksheet" Target="/xl/worksheets/sheet1.xml" Id="R2a3b908a2116435a" /><Relationship Type="http://schemas.openxmlformats.org/officeDocument/2006/relationships/worksheet" Target="/xl/worksheets/sheet2.xml" Id="Rf1e8748cb4e245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8" hidden="0" customWidth="1"/>
    <x:col min="5" max="5" width="12" hidden="0" customWidth="1"/>
    <x:col min="6" max="6" width="14" hidden="0" customWidth="1"/>
    <x:col min="7" max="7" width="18" hidden="0" customWidth="1"/>
    <x:col min="8" max="8" width="11" hidden="0" customWidth="1"/>
    <x:col min="9" max="9" width="13" hidden="0" customWidth="1"/>
    <x:col min="10" max="10" width="18" hidden="0" customWidth="1"/>
    <x:col min="11" max="11" width="18" hidden="0" customWidth="1"/>
    <x:col min="12" max="12" width="36" hidden="0" customWidth="1"/>
    <x:col min="13" max="13" width="36" hidden="0" customWidth="1"/>
    <x:col min="14" max="14" width="34" hidden="0" customWidth="1"/>
    <x:col min="15" max="15" width="34" hidden="0" customWidth="1"/>
    <x:col min="16" max="16" width="18" hidden="0" customWidth="1"/>
    <x:col min="17" max="17" width="42" hidden="0" customWidth="1"/>
    <x:col min="18" max="18" width="30" hidden="0" customWidth="1"/>
    <x:col min="19" max="19" width="10" hidden="0" customWidth="1"/>
    <x:col min="20" max="20" width="34" hidden="0" customWidth="1"/>
    <x:col min="21" max="21" width="14" hidden="0" customWidth="1"/>
    <x:col min="22" max="22" width="68" hidden="0" customWidth="1"/>
    <x:col min="23" max="23" width="64" hidden="0" customWidth="1"/>
    <x:col min="24" max="24" width="13" hidden="0" customWidth="1"/>
    <x:col min="25" max="25" width="22" hidden="0" customWidth="1"/>
    <x:col min="26" max="26" width="20" hidden="0" customWidth="1"/>
    <x:col min="27" max="27" width="42" hidden="0" customWidth="1"/>
  </x:cols>
  <x:sheetData>
    <x:row r="1" ht="48" customHeight="1">
      <x:c r="A1" s="16" t="str">
        <x:v>normalized_title</x:v>
      </x:c>
      <x:c r="B1" s="16" t="str">
        <x:v>series_a</x:v>
      </x:c>
      <x:c r="C1" s="16" t="str">
        <x:v>sample_a</x:v>
      </x:c>
      <x:c r="D1" s="16" t="str">
        <x:v>title_a</x:v>
      </x:c>
      <x:c r="E1" s="16" t="str">
        <x:v>series_b</x:v>
      </x:c>
      <x:c r="F1" s="16" t="str">
        <x:v>sample_b</x:v>
      </x:c>
      <x:c r="G1" s="16" t="str">
        <x:v>title_b</x:v>
      </x:c>
      <x:c r="H1" s="16" t="str">
        <x:v>shared_pubmed</x:v>
      </x:c>
      <x:c r="I1" s="16" t="str">
        <x:v>shared_bioproject</x:v>
      </x:c>
      <x:c r="J1" s="16" t="str">
        <x:v>identical_series_summary</x:v>
      </x:c>
      <x:c r="K1" s="16" t="str">
        <x:v>metadata_context_supported</x:v>
      </x:c>
      <x:c r="L1" s="16" t="str">
        <x:v>series_title_a</x:v>
      </x:c>
      <x:c r="M1" s="16" t="str">
        <x:v>series_title_b</x:v>
      </x:c>
      <x:c r="N1" s="16" t="str">
        <x:v>geo_url_a</x:v>
      </x:c>
      <x:c r="O1" s="16" t="str">
        <x:v>geo_url_b</x:v>
      </x:c>
      <x:c r="P1" s="16" t="str">
        <x:v>manual_same_patient_or_specimen</x:v>
      </x:c>
      <x:c r="Q1" s="16" t="str">
        <x:v>manual_evidence</x:v>
      </x:c>
      <x:c r="R1" s="16" t="str">
        <x:v>reviewer</x:v>
      </x:c>
      <x:c r="S1" s="16" t="str">
        <x:v>audit_row</x:v>
      </x:c>
      <x:c r="T1" s="16" t="str">
        <x:v>adjudication_class</x:v>
      </x:c>
      <x:c r="U1" s="16" t="str">
        <x:v>positive_manual_support</x:v>
      </x:c>
      <x:c r="V1" s="16" t="str">
        <x:v>adjudication_evidence</x:v>
      </x:c>
      <x:c r="W1" s="16" t="str">
        <x:v>evidence_sources</x:v>
      </x:c>
      <x:c r="X1" s="16" t="str">
        <x:v>review_date</x:v>
      </x:c>
      <x:c r="Y1" s="16" t="str">
        <x:v>author_verification</x:v>
      </x:c>
      <x:c r="Z1" s="16" t="str">
        <x:v>author_verification_status</x:v>
      </x:c>
      <x:c r="AA1" s="16" t="str">
        <x:v>author_notes</x:v>
      </x:c>
    </x:row>
    <x:row r="2" ht="42" customHeight="1">
      <x:c r="A2" s="22" t="str">
        <x:v>bt483</x:v>
      </x:c>
      <x:c r="B2" s="22" t="str">
        <x:v>GSE16732</x:v>
      </x:c>
      <x:c r="C2" s="22" t="str">
        <x:v>GSM419257</x:v>
      </x:c>
      <x:c r="D2" s="22" t="str">
        <x:v>BT483</x:v>
      </x:c>
      <x:c r="E2" s="22" t="str">
        <x:v>GSE73526</x:v>
      </x:c>
      <x:c r="F2" s="22" t="str">
        <x:v>GSM1897281</x:v>
      </x:c>
      <x:c r="G2" s="22" t="str">
        <x:v>BT483</x:v>
      </x:c>
      <x:c r="H2" s="22" t="str">
        <x:v>False</x:v>
      </x:c>
      <x:c r="I2" s="22" t="str">
        <x:v>False</x:v>
      </x:c>
      <x:c r="J2" s="22" t="str">
        <x:v>False</x:v>
      </x:c>
      <x:c r="K2" s="22" t="str">
        <x:v>False</x:v>
      </x:c>
      <x:c r="L2" s="22" t="str">
        <x:v>Affymetrix Gene Chip Human Exon 1.0 ST Array expression profiling of 41 human breast cancer cell lines</x:v>
      </x:c>
      <x:c r="M2" s="22" t="str">
        <x:v>The Functional Genomic Landscape of Human Breast Cancer Drivers, Vulnerabilities, and Resistance (RNASeq)</x:v>
      </x:c>
      <x:c r="N2" s="22" t="str">
        <x:v>https://www.ncbi.nlm.nih.gov/geo/query/acc.cgi?acc=GSE16732</x:v>
      </x:c>
      <x:c r="O2" s="22" t="str">
        <x:v>https://www.ncbi.nlm.nih.gov/geo/query/acc.cgi?acc=GSE73526</x:v>
      </x:c>
      <x:c r="P2" s="22" t="str"/>
      <x:c r="Q2" s="22" t="str"/>
      <x:c r="R2" s="22" t="str">
        <x:v>OpenAI Codex structured public-record review</x:v>
      </x:c>
      <x:c r="S2" s="22" t="str">
        <x:v>1</x:v>
      </x:c>
      <x:c r="T2" s="26" t="str">
        <x:v>related study/model but identity not established</x:v>
      </x:c>
      <x:c r="U2" s="26" t="str">
        <x:v>False</x:v>
      </x:c>
      <x:c r="V2" s="26" t="str">
        <x:v>The records name the same established cell-line/model, but separate studies and culture/assay metadata do not establish the same physical aliquot (source: Breast cancer cell lines | breast cancer cell line; contact countries: Netherlands | Canada).</x:v>
      </x:c>
      <x:c r="W2" s="26" t="str">
        <x:v>https://www.ncbi.nlm.nih.gov/geo/query/acc.cgi?acc=GSM419257&amp;targ=self&amp;form=text&amp;view=full; https://www.ncbi.nlm.nih.gov/geo/query/acc.cgi?acc=GSM1897281&amp;targ=self&amp;form=text&amp;view=full; https://www.ncbi.nlm.nih.gov/geo/query/acc.cgi?acc=GSE16732; https://www.ncbi.nlm.nih.gov/geo/query/acc.cgi?acc=GSE73526</x:v>
      </x:c>
      <x:c r="X2" s="27" t="str">
        <x:v>2026-09-27</x:v>
      </x:c>
      <x:c r="Y2" s="26" t="str">
        <x:v>Naol Beyene</x:v>
      </x:c>
      <x:c r="Z2" s="32" t="str">
        <x:v>Verified</x:v>
      </x:c>
      <x:c r="AA2" s="32" t="str">
        <x:v>Author manually verified the classification and cited evidence.</x:v>
      </x:c>
    </x:row>
    <x:row r="3" ht="42" customHeight="1">
      <x:c r="A3" s="22" t="str">
        <x:v>t11</x:v>
      </x:c>
      <x:c r="B3" s="22" t="str">
        <x:v>GSE23720</x:v>
      </x:c>
      <x:c r="C3" s="22" t="str">
        <x:v>GSM585310</x:v>
      </x:c>
      <x:c r="D3" s="22" t="str">
        <x:v>T11</x:v>
      </x:c>
      <x:c r="E3" s="22" t="str">
        <x:v>GSE81538</x:v>
      </x:c>
      <x:c r="F3" s="22" t="str">
        <x:v>GSM2155568</x:v>
      </x:c>
      <x:c r="G3" s="22" t="str">
        <x:v>T11</x:v>
      </x:c>
      <x:c r="H3" s="22" t="str">
        <x:v>False</x:v>
      </x:c>
      <x:c r="I3" s="22" t="str">
        <x:v>False</x:v>
      </x:c>
      <x:c r="J3" s="22" t="str">
        <x:v>False</x:v>
      </x:c>
      <x:c r="K3" s="22" t="str">
        <x:v>False</x:v>
      </x:c>
      <x:c r="L3" s="22" t="str">
        <x:v>High-resolution comparative genomic hybridization of inflammatory breast cancer and identification of candidate genes</x:v>
      </x:c>
      <x:c r="M3" s="22" t="str">
        <x:v>Clinical Value of RNA Sequencing–Based Classifiers for Prediction of the Five Conventional Breast Cancer Biomarkers: A Report From the Population-Based Multicenter Sweden Cancerome Analysis Network—Breast Initiative [cohort 405]</x:v>
      </x:c>
      <x:c r="N3" s="22" t="str">
        <x:v>https://www.ncbi.nlm.nih.gov/geo/query/acc.cgi?acc=GSE23720</x:v>
      </x:c>
      <x:c r="O3" s="22" t="str">
        <x:v>https://www.ncbi.nlm.nih.gov/geo/query/acc.cgi?acc=GSE81538</x:v>
      </x:c>
      <x:c r="P3" s="22" t="str"/>
      <x:c r="Q3" s="22" t="str"/>
      <x:c r="R3" s="22" t="str">
        <x:v>OpenAI Codex structured public-record review</x:v>
      </x:c>
      <x:c r="S3" s="22" t="str">
        <x:v>2</x:v>
      </x:c>
      <x:c r="T3" s="26" t="str">
        <x:v>evidence against identity</x:v>
      </x:c>
      <x:c r="U3" s="26" t="str">
        <x:v>False</x:v>
      </x:c>
      <x:c r="V3" s="26" t="str">
        <x:v>Matching short/local title conflicts with study or specimen metadata (source: human breast cancer tumors | Primary breast tumor; contact countries: France | Sweden); no shared publication or BioProject establishes identity.</x:v>
      </x:c>
      <x:c r="W3" s="26" t="str">
        <x:v>https://www.ncbi.nlm.nih.gov/geo/query/acc.cgi?acc=GSM585310&amp;targ=self&amp;form=text&amp;view=full; https://www.ncbi.nlm.nih.gov/geo/query/acc.cgi?acc=GSM2155568&amp;targ=self&amp;form=text&amp;view=full; https://www.ncbi.nlm.nih.gov/geo/query/acc.cgi?acc=GSE23720; https://www.ncbi.nlm.nih.gov/geo/query/acc.cgi?acc=GSE81538</x:v>
      </x:c>
      <x:c r="X3" s="27" t="str">
        <x:v>2026-09-27</x:v>
      </x:c>
      <x:c r="Y3" s="26" t="str">
        <x:v>Naol Beyene</x:v>
      </x:c>
      <x:c r="Z3" s="32" t="str">
        <x:v>Verified</x:v>
      </x:c>
      <x:c r="AA3" s="32" t="str">
        <x:v>Author manually verified the classification and cited evidence.</x:v>
      </x:c>
    </x:row>
    <x:row r="4" ht="42" customHeight="1">
      <x:c r="A4" s="22" t="str">
        <x:v>mdamb157</x:v>
      </x:c>
      <x:c r="B4" s="22" t="str">
        <x:v>GSE16795</x:v>
      </x:c>
      <x:c r="C4" s="22" t="str">
        <x:v>GSM421871</x:v>
      </x:c>
      <x:c r="D4" s="22" t="str">
        <x:v>MDA-MB-157</x:v>
      </x:c>
      <x:c r="E4" s="22" t="str">
        <x:v>GSE73526</x:v>
      </x:c>
      <x:c r="F4" s="22" t="str">
        <x:v>GSM1897324</x:v>
      </x:c>
      <x:c r="G4" s="22" t="str">
        <x:v>MDAMB157</x:v>
      </x:c>
      <x:c r="H4" s="22" t="str">
        <x:v>False</x:v>
      </x:c>
      <x:c r="I4" s="22" t="str">
        <x:v>False</x:v>
      </x:c>
      <x:c r="J4" s="22" t="str">
        <x:v>False</x:v>
      </x:c>
      <x:c r="K4" s="22" t="str">
        <x:v>False</x:v>
      </x:c>
      <x:c r="L4" s="22" t="str">
        <x:v>Affymetrix HG-U133A gene expression profiles of 39 human breast cancer cell lines</x:v>
      </x:c>
      <x:c r="M4" s="22" t="str">
        <x:v>The Functional Genomic Landscape of Human Breast Cancer Drivers, Vulnerabilities, and Resistance (RNASeq)</x:v>
      </x:c>
      <x:c r="N4" s="22" t="str">
        <x:v>https://www.ncbi.nlm.nih.gov/geo/query/acc.cgi?acc=GSE16795</x:v>
      </x:c>
      <x:c r="O4" s="22" t="str">
        <x:v>https://www.ncbi.nlm.nih.gov/geo/query/acc.cgi?acc=GSE73526</x:v>
      </x:c>
      <x:c r="P4" s="22" t="str"/>
      <x:c r="Q4" s="22" t="str"/>
      <x:c r="R4" s="22" t="str">
        <x:v>OpenAI Codex structured public-record review</x:v>
      </x:c>
      <x:c r="S4" s="22" t="str">
        <x:v>3</x:v>
      </x:c>
      <x:c r="T4" s="26" t="str">
        <x:v>related study/model but identity not established</x:v>
      </x:c>
      <x:c r="U4" s="26" t="str">
        <x:v>False</x:v>
      </x:c>
      <x:c r="V4" s="26" t="str">
        <x:v>The records name the same established cell-line/model, but separate studies and culture/assay metadata do not establish the same physical aliquot (source: breast cancer cell line | breast cancer cell line; contact countries: Netherlands | Canada).</x:v>
      </x:c>
      <x:c r="W4" s="26" t="str">
        <x:v>https://www.ncbi.nlm.nih.gov/geo/query/acc.cgi?acc=GSM421871&amp;targ=self&amp;form=text&amp;view=full; https://www.ncbi.nlm.nih.gov/geo/query/acc.cgi?acc=GSM1897324&amp;targ=self&amp;form=text&amp;view=full; https://www.ncbi.nlm.nih.gov/geo/query/acc.cgi?acc=GSE16795; https://www.ncbi.nlm.nih.gov/geo/query/acc.cgi?acc=GSE73526</x:v>
      </x:c>
      <x:c r="X4" s="27" t="str">
        <x:v>2026-09-27</x:v>
      </x:c>
      <x:c r="Y4" s="26" t="str">
        <x:v>Naol Beyene</x:v>
      </x:c>
      <x:c r="Z4" s="32" t="str">
        <x:v>Verified</x:v>
      </x:c>
      <x:c r="AA4" s="32" t="str">
        <x:v>Author manually verified the classification and cited evidence.</x:v>
      </x:c>
    </x:row>
    <x:row r="5" ht="42" customHeight="1">
      <x:c r="A5" s="22" t="str">
        <x:v>ffpex218966722x48x44plate1nhsii</x:v>
      </x:c>
      <x:c r="B5" s="22" t="str">
        <x:v>GSE115577</x:v>
      </x:c>
      <x:c r="C5" s="22" t="str">
        <x:v>GSM3183833</x:v>
      </x:c>
      <x:c r="D5" s="22" t="str">
        <x:v>FFPE X218966722 [X48_X.44_plate1NHSII]</x:v>
      </x:c>
      <x:c r="E5" s="22" t="str">
        <x:v>GSE93601</x:v>
      </x:c>
      <x:c r="F5" s="22" t="str">
        <x:v>GSM2458228</x:v>
      </x:c>
      <x:c r="G5" s="22" t="str">
        <x:v>FFPE_X218966722 [X48_X.44_plate1NHSII]</x:v>
      </x:c>
      <x:c r="H5" s="22" t="str">
        <x:v>False</x:v>
      </x:c>
      <x:c r="I5" s="22" t="str">
        <x:v>False</x:v>
      </x:c>
      <x:c r="J5" s="22" t="str">
        <x:v>False</x:v>
      </x:c>
      <x:c r="K5" s="22" t="str">
        <x:v>False</x:v>
      </x:c>
      <x:c r="L5" s="22" t="str">
        <x:v>Tumor &amp; Tumor-Adj Gene Expression in the Nurses' Health Study Cohorts</x:v>
      </x:c>
      <x:c r="M5" s="22" t="str">
        <x:v>Alcohol Consumption and Breast Tumor Gene Expression</x:v>
      </x:c>
      <x:c r="N5" s="22" t="str">
        <x:v>https://www.ncbi.nlm.nih.gov/geo/query/acc.cgi?acc=GSE115577</x:v>
      </x:c>
      <x:c r="O5" s="22" t="str">
        <x:v>https://www.ncbi.nlm.nih.gov/geo/query/acc.cgi?acc=GSE93601</x:v>
      </x:c>
      <x:c r="P5" s="22" t="str"/>
      <x:c r="Q5" s="22" t="str"/>
      <x:c r="R5" s="22" t="str">
        <x:v>OpenAI Codex structured public-record review</x:v>
      </x:c>
      <x:c r="S5" s="22" t="str">
        <x:v>4</x:v>
      </x:c>
      <x:c r="T5" s="26" t="str">
        <x:v>confirmed same patient/sample/material</x:v>
      </x:c>
      <x:c r="U5" s="26" t="str">
        <x:v>True</x:v>
      </x:c>
      <x:c r="V5" s="26" t="str">
        <x:v>Unique NHS patient/material identifier and plate label recur; tissue, age/year, cohort, and assay metadata align across the NHS reanalysis and original tumor study.</x:v>
      </x:c>
      <x:c r="W5" s="26" t="str">
        <x:v>https://www.ncbi.nlm.nih.gov/geo/query/acc.cgi?acc=GSM3183833&amp;targ=self&amp;form=text&amp;view=full; https://www.ncbi.nlm.nih.gov/geo/query/acc.cgi?acc=GSM2458228&amp;targ=self&amp;form=text&amp;view=full; https://www.ncbi.nlm.nih.gov/geo/query/acc.cgi?acc=GSE115577; https://www.ncbi.nlm.nih.gov/geo/query/acc.cgi?acc=GSE93601</x:v>
      </x:c>
      <x:c r="X5" s="27" t="str">
        <x:v>2026-09-27</x:v>
      </x:c>
      <x:c r="Y5" s="26" t="str">
        <x:v>Naol Beyene</x:v>
      </x:c>
      <x:c r="Z5" s="32" t="str">
        <x:v>Verified</x:v>
      </x:c>
      <x:c r="AA5" s="32" t="str">
        <x:v>Author manually verified the classification and cited evidence.</x:v>
      </x:c>
    </x:row>
    <x:row r="6" ht="42" customHeight="1">
      <x:c r="A6" s="22" t="str">
        <x:v>t181</x:v>
      </x:c>
      <x:c r="B6" s="22" t="str">
        <x:v>GSE23720</x:v>
      </x:c>
      <x:c r="C6" s="22" t="str">
        <x:v>GSM585480</x:v>
      </x:c>
      <x:c r="D6" s="22" t="str">
        <x:v>T181</x:v>
      </x:c>
      <x:c r="E6" s="22" t="str">
        <x:v>GSE81540</x:v>
      </x:c>
      <x:c r="F6" s="22" t="str">
        <x:v>GSM2155738</x:v>
      </x:c>
      <x:c r="G6" s="22" t="str">
        <x:v>T181</x:v>
      </x:c>
      <x:c r="H6" s="22" t="str">
        <x:v>False</x:v>
      </x:c>
      <x:c r="I6" s="22" t="str">
        <x:v>False</x:v>
      </x:c>
      <x:c r="J6" s="22" t="str">
        <x:v>False</x:v>
      </x:c>
      <x:c r="K6" s="22" t="str">
        <x:v>False</x:v>
      </x:c>
      <x:c r="L6" s="22" t="str">
        <x:v>High-resolution comparative genomic hybridization of inflammatory breast cancer and identification of candidate genes</x:v>
      </x:c>
      <x:c r="M6" s="22" t="str">
        <x:v>Clinical Value of RNA Sequencing–Based Classifiers for Prediction of the Five Conventional Breast Cancer Biomarkers: A Report From the Population-Based Multicenter Sweden Cancerome Analysis Network—Breast Initiative [superseries]</x:v>
      </x:c>
      <x:c r="N6" s="22" t="str">
        <x:v>https://www.ncbi.nlm.nih.gov/geo/query/acc.cgi?acc=GSE23720</x:v>
      </x:c>
      <x:c r="O6" s="22" t="str">
        <x:v>https://www.ncbi.nlm.nih.gov/geo/query/acc.cgi?acc=GSE81540</x:v>
      </x:c>
      <x:c r="P6" s="22" t="str"/>
      <x:c r="Q6" s="22" t="str"/>
      <x:c r="R6" s="22" t="str">
        <x:v>OpenAI Codex structured public-record review</x:v>
      </x:c>
      <x:c r="S6" s="22" t="str">
        <x:v>5</x:v>
      </x:c>
      <x:c r="T6" s="26" t="str">
        <x:v>evidence against identity</x:v>
      </x:c>
      <x:c r="U6" s="26" t="str">
        <x:v>False</x:v>
      </x:c>
      <x:c r="V6" s="26" t="str">
        <x:v>Matching short/local title conflicts with study or specimen metadata (source: human breast cancer tumors | Primary breast tumor; contact countries: France | Sweden); no shared publication or BioProject establishes identity.</x:v>
      </x:c>
      <x:c r="W6" s="26" t="str">
        <x:v>https://www.ncbi.nlm.nih.gov/geo/query/acc.cgi?acc=GSM585480&amp;targ=self&amp;form=text&amp;view=full; https://www.ncbi.nlm.nih.gov/geo/query/acc.cgi?acc=GSM2155738&amp;targ=self&amp;form=text&amp;view=full; https://www.ncbi.nlm.nih.gov/geo/query/acc.cgi?acc=GSE23720; https://www.ncbi.nlm.nih.gov/geo/query/acc.cgi?acc=GSE81540</x:v>
      </x:c>
      <x:c r="X6" s="27" t="str">
        <x:v>2026-09-27</x:v>
      </x:c>
      <x:c r="Y6" s="26" t="str">
        <x:v>Naol Beyene</x:v>
      </x:c>
      <x:c r="Z6" s="32" t="str">
        <x:v>Verified</x:v>
      </x:c>
      <x:c r="AA6" s="32" t="str">
        <x:v>Author manually verified the classification and cited evidence.</x:v>
      </x:c>
    </x:row>
    <x:row r="7" ht="42" customHeight="1">
      <x:c r="A7" s="22" t="str">
        <x:v>hcsc0011</x:v>
      </x:c>
      <x:c r="B7" s="22" t="str">
        <x:v>GSE181466</x:v>
      </x:c>
      <x:c r="C7" s="22" t="str">
        <x:v>GSM5502996</x:v>
      </x:c>
      <x:c r="D7" s="22" t="str">
        <x:v>HCSC-0011</x:v>
      </x:c>
      <x:c r="E7" s="22" t="str">
        <x:v>GSE181548</x:v>
      </x:c>
      <x:c r="F7" s="22" t="str">
        <x:v>GSM5505600</x:v>
      </x:c>
      <x:c r="G7" s="22" t="str">
        <x:v>HCSC-0011</x:v>
      </x:c>
      <x:c r="H7" s="22" t="str">
        <x:v>False</x:v>
      </x:c>
      <x:c r="I7" s="22" t="str">
        <x:v>False</x:v>
      </x:c>
      <x:c r="J7" s="22" t="str">
        <x:v>True</x:v>
      </x:c>
      <x:c r="K7" s="22" t="str">
        <x:v>True</x:v>
      </x:c>
      <x:c r="L7" s="22" t="str">
        <x:v>RNAseq of a Triple-Negative Breast Cancer Cohort Treated with Neoadjuvant Carboplatin and Docetaxel According to Lehmann's Refined Classification</x:v>
      </x:c>
      <x:c r="M7" s="22" t="str">
        <x:v>Pam50 of a Triple-Negative Breast Cancer Cohort Treated with Neoadjuvant Carboplatin and Docetaxel According to Lehmann's Refined Classification</x:v>
      </x:c>
      <x:c r="N7" s="22" t="str">
        <x:v>https://www.ncbi.nlm.nih.gov/geo/query/acc.cgi?acc=GSE181466</x:v>
      </x:c>
      <x:c r="O7" s="22" t="str">
        <x:v>https://www.ncbi.nlm.nih.gov/geo/query/acc.cgi?acc=GSE181548</x:v>
      </x:c>
      <x:c r="P7" s="22" t="str"/>
      <x:c r="Q7" s="22" t="str"/>
      <x:c r="R7" s="22" t="str">
        <x:v>OpenAI Codex structured public-record review</x:v>
      </x:c>
      <x:c r="S7" s="22" t="str">
        <x:v>6</x:v>
      </x:c>
      <x:c r="T7" s="26" t="str">
        <x:v>confirmed same patient/sample/material</x:v>
      </x:c>
      <x:c r="U7" s="26" t="str">
        <x:v>True</x:v>
      </x:c>
      <x:c r="V7" s="26" t="str">
        <x:v>Series summaries explicitly describe RNA-seq and PAM50 analysis of the same patients; unique HCSC/HUGM identifier and clinical attributes align.</x:v>
      </x:c>
      <x:c r="W7" s="26" t="str">
        <x:v>https://www.ncbi.nlm.nih.gov/geo/query/acc.cgi?acc=GSM5502996&amp;targ=self&amp;form=text&amp;view=full; https://www.ncbi.nlm.nih.gov/geo/query/acc.cgi?acc=GSM5505600&amp;targ=self&amp;form=text&amp;view=full; https://www.ncbi.nlm.nih.gov/geo/query/acc.cgi?acc=GSE181466; https://www.ncbi.nlm.nih.gov/geo/query/acc.cgi?acc=GSE181548</x:v>
      </x:c>
      <x:c r="X7" s="27" t="str">
        <x:v>2026-09-27</x:v>
      </x:c>
      <x:c r="Y7" s="26" t="str">
        <x:v>Naol Beyene</x:v>
      </x:c>
      <x:c r="Z7" s="32" t="str">
        <x:v>Verified</x:v>
      </x:c>
      <x:c r="AA7" s="32" t="str">
        <x:v>Author manually verified the classification and cited evidence.</x:v>
      </x:c>
    </x:row>
    <x:row r="8" ht="42" customHeight="1">
      <x:c r="A8" s="22" t="str">
        <x:v>ffpex220769210x18x188nhsiiplate3</x:v>
      </x:c>
      <x:c r="B8" s="22" t="str">
        <x:v>GSE115577</x:v>
      </x:c>
      <x:c r="C8" s="22" t="str">
        <x:v>GSM3183596</x:v>
      </x:c>
      <x:c r="D8" s="22" t="str">
        <x:v>FFPE X220769210 [X18_X.188_NHSIIplate3]</x:v>
      </x:c>
      <x:c r="E8" s="22" t="str">
        <x:v>GSE93601</x:v>
      </x:c>
      <x:c r="F8" s="22" t="str">
        <x:v>GSM2458148</x:v>
      </x:c>
      <x:c r="G8" s="22" t="str">
        <x:v>FFPE_X220769210 [X18_X.188_NHSIIplate3]</x:v>
      </x:c>
      <x:c r="H8" s="22" t="str">
        <x:v>False</x:v>
      </x:c>
      <x:c r="I8" s="22" t="str">
        <x:v>False</x:v>
      </x:c>
      <x:c r="J8" s="22" t="str">
        <x:v>False</x:v>
      </x:c>
      <x:c r="K8" s="22" t="str">
        <x:v>False</x:v>
      </x:c>
      <x:c r="L8" s="22" t="str">
        <x:v>Tumor &amp; Tumor-Adj Gene Expression in the Nurses' Health Study Cohorts</x:v>
      </x:c>
      <x:c r="M8" s="22" t="str">
        <x:v>Alcohol Consumption and Breast Tumor Gene Expression</x:v>
      </x:c>
      <x:c r="N8" s="22" t="str">
        <x:v>https://www.ncbi.nlm.nih.gov/geo/query/acc.cgi?acc=GSE115577</x:v>
      </x:c>
      <x:c r="O8" s="22" t="str">
        <x:v>https://www.ncbi.nlm.nih.gov/geo/query/acc.cgi?acc=GSE93601</x:v>
      </x:c>
      <x:c r="P8" s="22" t="str"/>
      <x:c r="Q8" s="22" t="str"/>
      <x:c r="R8" s="22" t="str">
        <x:v>OpenAI Codex structured public-record review</x:v>
      </x:c>
      <x:c r="S8" s="22" t="str">
        <x:v>7</x:v>
      </x:c>
      <x:c r="T8" s="26" t="str">
        <x:v>confirmed same patient/sample/material</x:v>
      </x:c>
      <x:c r="U8" s="26" t="str">
        <x:v>True</x:v>
      </x:c>
      <x:c r="V8" s="26" t="str">
        <x:v>Unique NHS patient/material identifier and plate label recur; tissue, age/year, cohort, and assay metadata align across the NHS reanalysis and original tumor study.</x:v>
      </x:c>
      <x:c r="W8" s="26" t="str">
        <x:v>https://www.ncbi.nlm.nih.gov/geo/query/acc.cgi?acc=GSM3183596&amp;targ=self&amp;form=text&amp;view=full; https://www.ncbi.nlm.nih.gov/geo/query/acc.cgi?acc=GSM2458148&amp;targ=self&amp;form=text&amp;view=full; https://www.ncbi.nlm.nih.gov/geo/query/acc.cgi?acc=GSE115577; https://www.ncbi.nlm.nih.gov/geo/query/acc.cgi?acc=GSE93601</x:v>
      </x:c>
      <x:c r="X8" s="27" t="str">
        <x:v>2026-09-27</x:v>
      </x:c>
      <x:c r="Y8" s="26" t="str">
        <x:v>Naol Beyene</x:v>
      </x:c>
      <x:c r="Z8" s="32" t="str">
        <x:v>Verified</x:v>
      </x:c>
      <x:c r="AA8" s="32" t="str">
        <x:v>Author manually verified the classification and cited evidence.</x:v>
      </x:c>
    </x:row>
    <x:row r="9" ht="42" customHeight="1">
      <x:c r="A9" s="22" t="str">
        <x:v>ffpex121820155x39247ffpeplate3</x:v>
      </x:c>
      <x:c r="B9" s="22" t="str">
        <x:v>GSE115577</x:v>
      </x:c>
      <x:c r="C9" s="22" t="str">
        <x:v>GSM3182941</x:v>
      </x:c>
      <x:c r="D9" s="22" t="str">
        <x:v>FFPE X121820155 [X39_247_FFPE_PLATE3]</x:v>
      </x:c>
      <x:c r="E9" s="22" t="str">
        <x:v>GSE93601</x:v>
      </x:c>
      <x:c r="F9" s="22" t="str">
        <x:v>GSM2457569</x:v>
      </x:c>
      <x:c r="G9" s="22" t="str">
        <x:v>FFPE_X121820155 [X39_247_FFPE_PLATE3]</x:v>
      </x:c>
      <x:c r="H9" s="22" t="str">
        <x:v>False</x:v>
      </x:c>
      <x:c r="I9" s="22" t="str">
        <x:v>False</x:v>
      </x:c>
      <x:c r="J9" s="22" t="str">
        <x:v>False</x:v>
      </x:c>
      <x:c r="K9" s="22" t="str">
        <x:v>False</x:v>
      </x:c>
      <x:c r="L9" s="22" t="str">
        <x:v>Tumor &amp; Tumor-Adj Gene Expression in the Nurses' Health Study Cohorts</x:v>
      </x:c>
      <x:c r="M9" s="22" t="str">
        <x:v>Alcohol Consumption and Breast Tumor Gene Expression</x:v>
      </x:c>
      <x:c r="N9" s="22" t="str">
        <x:v>https://www.ncbi.nlm.nih.gov/geo/query/acc.cgi?acc=GSE115577</x:v>
      </x:c>
      <x:c r="O9" s="22" t="str">
        <x:v>https://www.ncbi.nlm.nih.gov/geo/query/acc.cgi?acc=GSE93601</x:v>
      </x:c>
      <x:c r="P9" s="22" t="str"/>
      <x:c r="Q9" s="22" t="str"/>
      <x:c r="R9" s="22" t="str">
        <x:v>OpenAI Codex structured public-record review</x:v>
      </x:c>
      <x:c r="S9" s="22" t="str">
        <x:v>8</x:v>
      </x:c>
      <x:c r="T9" s="26" t="str">
        <x:v>confirmed same patient/sample/material</x:v>
      </x:c>
      <x:c r="U9" s="26" t="str">
        <x:v>True</x:v>
      </x:c>
      <x:c r="V9" s="26" t="str">
        <x:v>Unique NHS patient/material identifier and plate label recur; tissue, age/year, cohort, and assay metadata align across the NHS reanalysis and original tumor study.</x:v>
      </x:c>
      <x:c r="W9" s="26" t="str">
        <x:v>https://www.ncbi.nlm.nih.gov/geo/query/acc.cgi?acc=GSM3182941&amp;targ=self&amp;form=text&amp;view=full; https://www.ncbi.nlm.nih.gov/geo/query/acc.cgi?acc=GSM2457569&amp;targ=self&amp;form=text&amp;view=full; https://www.ncbi.nlm.nih.gov/geo/query/acc.cgi?acc=GSE115577; https://www.ncbi.nlm.nih.gov/geo/query/acc.cgi?acc=GSE93601</x:v>
      </x:c>
      <x:c r="X9" s="27" t="str">
        <x:v>2026-09-27</x:v>
      </x:c>
      <x:c r="Y9" s="26" t="str">
        <x:v>Naol Beyene</x:v>
      </x:c>
      <x:c r="Z9" s="32" t="str">
        <x:v>Verified</x:v>
      </x:c>
      <x:c r="AA9" s="32" t="str">
        <x:v>Author manually verified the classification and cited evidence.</x:v>
      </x:c>
    </x:row>
    <x:row r="10" ht="42" customHeight="1">
      <x:c r="A10" s="22" t="str">
        <x:v>bc16</x:v>
      </x:c>
      <x:c r="B10" s="22" t="str">
        <x:v>GSE148848</x:v>
      </x:c>
      <x:c r="C10" s="22" t="str">
        <x:v>GSM4483907</x:v>
      </x:c>
      <x:c r="D10" s="22" t="str">
        <x:v>BC16</x:v>
      </x:c>
      <x:c r="E10" s="22" t="str">
        <x:v>GSE281492</x:v>
      </x:c>
      <x:c r="F10" s="22" t="str">
        <x:v>GSM8623993</x:v>
      </x:c>
      <x:c r="G10" s="22" t="str">
        <x:v>BC16</x:v>
      </x:c>
      <x:c r="H10" s="22" t="str">
        <x:v>False</x:v>
      </x:c>
      <x:c r="I10" s="22" t="str">
        <x:v>False</x:v>
      </x:c>
      <x:c r="J10" s="22" t="str">
        <x:v>True</x:v>
      </x:c>
      <x:c r="K10" s="22" t="str">
        <x:v>True</x:v>
      </x:c>
      <x:c r="L10" s="22" t="str">
        <x:v>microRNA expression profiling of paired primary and lymph node metastatic breast cancer patients, and gene expression profiling of MDA-MB-231 cells transfected with hsa-miR-205-5p and hsa-miR-214-3p compared to scrambled miRNA precursors</x:v>
      </x:c>
      <x:c r="M10" s="22" t="str">
        <x:v>Molecular characterisation of the metastatic cell state in Breast Cancer</x:v>
      </x:c>
      <x:c r="N10" s="22" t="str">
        <x:v>https://www.ncbi.nlm.nih.gov/geo/query/acc.cgi?acc=GSE148848</x:v>
      </x:c>
      <x:c r="O10" s="22" t="str">
        <x:v>https://www.ncbi.nlm.nih.gov/geo/query/acc.cgi?acc=GSE281492</x:v>
      </x:c>
      <x:c r="P10" s="22" t="str"/>
      <x:c r="Q10" s="22" t="str"/>
      <x:c r="R10" s="22" t="str">
        <x:v>OpenAI Codex structured public-record review</x:v>
      </x:c>
      <x:c r="S10" s="22" t="str">
        <x:v>9</x:v>
      </x:c>
      <x:c r="T10" s="26" t="str">
        <x:v>evidence against identity</x:v>
      </x:c>
      <x:c r="U10" s="26" t="str">
        <x:v>False</x:v>
      </x:c>
      <x:c r="V10" s="26" t="str">
        <x:v>Matching short/local title conflicts with study or specimen metadata (source: BC16 | breast cancer; contact countries: Saudi Arabia | Italy); no shared publication or BioProject establishes identity.</x:v>
      </x:c>
      <x:c r="W10" s="26" t="str">
        <x:v>https://www.ncbi.nlm.nih.gov/geo/query/acc.cgi?acc=GSM4483907&amp;targ=self&amp;form=text&amp;view=full; https://www.ncbi.nlm.nih.gov/geo/query/acc.cgi?acc=GSM8623993&amp;targ=self&amp;form=text&amp;view=full; https://www.ncbi.nlm.nih.gov/geo/query/acc.cgi?acc=GSE148848; https://www.ncbi.nlm.nih.gov/geo/query/acc.cgi?acc=GSE281492</x:v>
      </x:c>
      <x:c r="X10" s="27" t="str">
        <x:v>2026-09-27</x:v>
      </x:c>
      <x:c r="Y10" s="26" t="str">
        <x:v>Naol Beyene</x:v>
      </x:c>
      <x:c r="Z10" s="32" t="str">
        <x:v>Verified</x:v>
      </x:c>
      <x:c r="AA10" s="32" t="str">
        <x:v>Author manually verified the classification and cited evidence.</x:v>
      </x:c>
    </x:row>
    <x:row r="11" ht="42" customHeight="1">
      <x:c r="A11" s="22" t="str">
        <x:v>ffpex115444077x96304ffpeplate3</x:v>
      </x:c>
      <x:c r="B11" s="22" t="str">
        <x:v>GSE115577</x:v>
      </x:c>
      <x:c r="C11" s="22" t="str">
        <x:v>GSM3182972</x:v>
      </x:c>
      <x:c r="D11" s="22" t="str">
        <x:v>FFPE X115444077 [X96_304_FFPE_PLATE3]</x:v>
      </x:c>
      <x:c r="E11" s="22" t="str">
        <x:v>GSE93601</x:v>
      </x:c>
      <x:c r="F11" s="22" t="str">
        <x:v>GSM2457619</x:v>
      </x:c>
      <x:c r="G11" s="22" t="str">
        <x:v>FFPE_X115444077 [X96_304_FFPE_PLATE3]</x:v>
      </x:c>
      <x:c r="H11" s="22" t="str">
        <x:v>False</x:v>
      </x:c>
      <x:c r="I11" s="22" t="str">
        <x:v>False</x:v>
      </x:c>
      <x:c r="J11" s="22" t="str">
        <x:v>False</x:v>
      </x:c>
      <x:c r="K11" s="22" t="str">
        <x:v>False</x:v>
      </x:c>
      <x:c r="L11" s="22" t="str">
        <x:v>Tumor &amp; Tumor-Adj Gene Expression in the Nurses' Health Study Cohorts</x:v>
      </x:c>
      <x:c r="M11" s="22" t="str">
        <x:v>Alcohol Consumption and Breast Tumor Gene Expression</x:v>
      </x:c>
      <x:c r="N11" s="22" t="str">
        <x:v>https://www.ncbi.nlm.nih.gov/geo/query/acc.cgi?acc=GSE115577</x:v>
      </x:c>
      <x:c r="O11" s="22" t="str">
        <x:v>https://www.ncbi.nlm.nih.gov/geo/query/acc.cgi?acc=GSE93601</x:v>
      </x:c>
      <x:c r="P11" s="22" t="str"/>
      <x:c r="Q11" s="22" t="str"/>
      <x:c r="R11" s="22" t="str">
        <x:v>OpenAI Codex structured public-record review</x:v>
      </x:c>
      <x:c r="S11" s="22" t="str">
        <x:v>10</x:v>
      </x:c>
      <x:c r="T11" s="26" t="str">
        <x:v>confirmed same patient/sample/material</x:v>
      </x:c>
      <x:c r="U11" s="26" t="str">
        <x:v>True</x:v>
      </x:c>
      <x:c r="V11" s="26" t="str">
        <x:v>Unique NHS patient/material identifier and plate label recur; tissue, age/year, cohort, and assay metadata align across the NHS reanalysis and original tumor study.</x:v>
      </x:c>
      <x:c r="W11" s="26" t="str">
        <x:v>https://www.ncbi.nlm.nih.gov/geo/query/acc.cgi?acc=GSM3182972&amp;targ=self&amp;form=text&amp;view=full; https://www.ncbi.nlm.nih.gov/geo/query/acc.cgi?acc=GSM2457619&amp;targ=self&amp;form=text&amp;view=full; https://www.ncbi.nlm.nih.gov/geo/query/acc.cgi?acc=GSE115577; https://www.ncbi.nlm.nih.gov/geo/query/acc.cgi?acc=GSE93601</x:v>
      </x:c>
      <x:c r="X11" s="27" t="str">
        <x:v>2026-09-27</x:v>
      </x:c>
      <x:c r="Y11" s="26" t="str">
        <x:v>Naol Beyene</x:v>
      </x:c>
      <x:c r="Z11" s="32" t="str">
        <x:v>Verified</x:v>
      </x:c>
      <x:c r="AA11" s="32" t="str">
        <x:v>Author manually verified the classification and cited evidence.</x:v>
      </x:c>
    </x:row>
    <x:row r="12" ht="42" customHeight="1">
      <x:c r="A12" s="22" t="str">
        <x:v>mdamb436</x:v>
      </x:c>
      <x:c r="B12" s="22" t="str">
        <x:v>GSE17945</x:v>
      </x:c>
      <x:c r="C12" s="22" t="str">
        <x:v>GSM448878</x:v>
      </x:c>
      <x:c r="D12" s="22" t="str">
        <x:v>MDA-MB-436</x:v>
      </x:c>
      <x:c r="E12" s="22" t="str">
        <x:v>GSE87008</x:v>
      </x:c>
      <x:c r="F12" s="22" t="str">
        <x:v>GSM2318770</x:v>
      </x:c>
      <x:c r="G12" s="22" t="str">
        <x:v>MDAMB436</x:v>
      </x:c>
      <x:c r="H12" s="22" t="str">
        <x:v>False</x:v>
      </x:c>
      <x:c r="I12" s="22" t="str">
        <x:v>False</x:v>
      </x:c>
      <x:c r="J12" s="22" t="str">
        <x:v>False</x:v>
      </x:c>
      <x:c r="K12" s="22" t="str">
        <x:v>False</x:v>
      </x:c>
      <x:c r="L12" s="22" t="str">
        <x:v>tRNA Over-Expression in Breast Cancer</x:v>
      </x:c>
      <x:c r="M12" s="22" t="str">
        <x:v>CDK4 phosphorylation status and a linked gene expression profile predict sensitivity to Palbociclib</x:v>
      </x:c>
      <x:c r="N12" s="22" t="str">
        <x:v>https://www.ncbi.nlm.nih.gov/geo/query/acc.cgi?acc=GSE17945</x:v>
      </x:c>
      <x:c r="O12" s="22" t="str">
        <x:v>https://www.ncbi.nlm.nih.gov/geo/query/acc.cgi?acc=GSE87008</x:v>
      </x:c>
      <x:c r="P12" s="22" t="str"/>
      <x:c r="Q12" s="22" t="str"/>
      <x:c r="R12" s="22" t="str">
        <x:v>OpenAI Codex structured public-record review</x:v>
      </x:c>
      <x:c r="S12" s="22" t="str">
        <x:v>11</x:v>
      </x:c>
      <x:c r="T12" s="26" t="str">
        <x:v>related study/model but identity not established</x:v>
      </x:c>
      <x:c r="U12" s="26" t="str">
        <x:v>False</x:v>
      </x:c>
      <x:c r="V12" s="26" t="str">
        <x:v>The records name the same established cell-line/model, but separate studies and culture/assay metadata do not establish the same physical aliquot (source: MDA-MB-436 | ATCC; contact countries: USA | Belgium).</x:v>
      </x:c>
      <x:c r="W12" s="26" t="str">
        <x:v>https://www.ncbi.nlm.nih.gov/geo/query/acc.cgi?acc=GSM448878&amp;targ=self&amp;form=text&amp;view=full; https://www.ncbi.nlm.nih.gov/geo/query/acc.cgi?acc=GSM2318770&amp;targ=self&amp;form=text&amp;view=full; https://www.ncbi.nlm.nih.gov/geo/query/acc.cgi?acc=GSE17945; https://www.ncbi.nlm.nih.gov/geo/query/acc.cgi?acc=GSE87008</x:v>
      </x:c>
      <x:c r="X12" s="27" t="str">
        <x:v>2026-09-27</x:v>
      </x:c>
      <x:c r="Y12" s="26" t="str">
        <x:v>Naol Beyene</x:v>
      </x:c>
      <x:c r="Z12" s="32" t="str">
        <x:v>Verified</x:v>
      </x:c>
      <x:c r="AA12" s="32" t="str">
        <x:v>Author manually verified the classification and cited evidence.</x:v>
      </x:c>
    </x:row>
    <x:row r="13" ht="42" customHeight="1">
      <x:c r="A13" s="22" t="str">
        <x:v>ffpex116156486x36842plate9</x:v>
      </x:c>
      <x:c r="B13" s="22" t="str">
        <x:v>GSE115577</x:v>
      </x:c>
      <x:c r="C13" s="22" t="str">
        <x:v>GSM3183422</x:v>
      </x:c>
      <x:c r="D13" s="22" t="str">
        <x:v>FFPE X116156486 [X36_842_plate9]</x:v>
      </x:c>
      <x:c r="E13" s="22" t="str">
        <x:v>GSE93601</x:v>
      </x:c>
      <x:c r="F13" s="22" t="str">
        <x:v>GSM2458089</x:v>
      </x:c>
      <x:c r="G13" s="22" t="str">
        <x:v>FFPE_X116156486 [X36_842_plate9]</x:v>
      </x:c>
      <x:c r="H13" s="22" t="str">
        <x:v>False</x:v>
      </x:c>
      <x:c r="I13" s="22" t="str">
        <x:v>False</x:v>
      </x:c>
      <x:c r="J13" s="22" t="str">
        <x:v>False</x:v>
      </x:c>
      <x:c r="K13" s="22" t="str">
        <x:v>False</x:v>
      </x:c>
      <x:c r="L13" s="22" t="str">
        <x:v>Tumor &amp; Tumor-Adj Gene Expression in the Nurses' Health Study Cohorts</x:v>
      </x:c>
      <x:c r="M13" s="22" t="str">
        <x:v>Alcohol Consumption and Breast Tumor Gene Expression</x:v>
      </x:c>
      <x:c r="N13" s="22" t="str">
        <x:v>https://www.ncbi.nlm.nih.gov/geo/query/acc.cgi?acc=GSE115577</x:v>
      </x:c>
      <x:c r="O13" s="22" t="str">
        <x:v>https://www.ncbi.nlm.nih.gov/geo/query/acc.cgi?acc=GSE93601</x:v>
      </x:c>
      <x:c r="P13" s="22" t="str"/>
      <x:c r="Q13" s="22" t="str"/>
      <x:c r="R13" s="22" t="str">
        <x:v>OpenAI Codex structured public-record review</x:v>
      </x:c>
      <x:c r="S13" s="22" t="str">
        <x:v>12</x:v>
      </x:c>
      <x:c r="T13" s="26" t="str">
        <x:v>confirmed same patient/sample/material</x:v>
      </x:c>
      <x:c r="U13" s="26" t="str">
        <x:v>True</x:v>
      </x:c>
      <x:c r="V13" s="26" t="str">
        <x:v>Unique NHS patient/material identifier and plate label recur; tissue, age/year, cohort, and assay metadata align across the NHS reanalysis and original tumor study.</x:v>
      </x:c>
      <x:c r="W13" s="26" t="str">
        <x:v>https://www.ncbi.nlm.nih.gov/geo/query/acc.cgi?acc=GSM3183422&amp;targ=self&amp;form=text&amp;view=full; https://www.ncbi.nlm.nih.gov/geo/query/acc.cgi?acc=GSM2458089&amp;targ=self&amp;form=text&amp;view=full; https://www.ncbi.nlm.nih.gov/geo/query/acc.cgi?acc=GSE115577; https://www.ncbi.nlm.nih.gov/geo/query/acc.cgi?acc=GSE93601</x:v>
      </x:c>
      <x:c r="X13" s="27" t="str">
        <x:v>2026-09-27</x:v>
      </x:c>
      <x:c r="Y13" s="26" t="str">
        <x:v>Naol Beyene</x:v>
      </x:c>
      <x:c r="Z13" s="32" t="str">
        <x:v>Verified</x:v>
      </x:c>
      <x:c r="AA13" s="32" t="str">
        <x:v>Author manually verified the classification and cited evidence.</x:v>
      </x:c>
    </x:row>
    <x:row r="14" ht="42" customHeight="1">
      <x:c r="A14" s="22" t="str">
        <x:v>ffpex219016692x89x172plate2nhsii</x:v>
      </x:c>
      <x:c r="B14" s="22" t="str">
        <x:v>GSE115577</x:v>
      </x:c>
      <x:c r="C14" s="22" t="str">
        <x:v>GSM3183580</x:v>
      </x:c>
      <x:c r="D14" s="22" t="str">
        <x:v>FFPE X219016692 [X89_X.172_plate2NHSII]</x:v>
      </x:c>
      <x:c r="E14" s="22" t="str">
        <x:v>GSE93601</x:v>
      </x:c>
      <x:c r="F14" s="22" t="str">
        <x:v>GSM2458475</x:v>
      </x:c>
      <x:c r="G14" s="22" t="str">
        <x:v>FFPE_X219016692 [X89_X.172_plate2NHSII]</x:v>
      </x:c>
      <x:c r="H14" s="22" t="str">
        <x:v>False</x:v>
      </x:c>
      <x:c r="I14" s="22" t="str">
        <x:v>False</x:v>
      </x:c>
      <x:c r="J14" s="22" t="str">
        <x:v>False</x:v>
      </x:c>
      <x:c r="K14" s="22" t="str">
        <x:v>False</x:v>
      </x:c>
      <x:c r="L14" s="22" t="str">
        <x:v>Tumor &amp; Tumor-Adj Gene Expression in the Nurses' Health Study Cohorts</x:v>
      </x:c>
      <x:c r="M14" s="22" t="str">
        <x:v>Alcohol Consumption and Breast Tumor Gene Expression</x:v>
      </x:c>
      <x:c r="N14" s="22" t="str">
        <x:v>https://www.ncbi.nlm.nih.gov/geo/query/acc.cgi?acc=GSE115577</x:v>
      </x:c>
      <x:c r="O14" s="22" t="str">
        <x:v>https://www.ncbi.nlm.nih.gov/geo/query/acc.cgi?acc=GSE93601</x:v>
      </x:c>
      <x:c r="P14" s="22" t="str"/>
      <x:c r="Q14" s="22" t="str"/>
      <x:c r="R14" s="22" t="str">
        <x:v>OpenAI Codex structured public-record review</x:v>
      </x:c>
      <x:c r="S14" s="22" t="str">
        <x:v>13</x:v>
      </x:c>
      <x:c r="T14" s="26" t="str">
        <x:v>confirmed same patient/sample/material</x:v>
      </x:c>
      <x:c r="U14" s="26" t="str">
        <x:v>True</x:v>
      </x:c>
      <x:c r="V14" s="26" t="str">
        <x:v>Unique NHS patient/material identifier and plate label recur; tissue, age/year, cohort, and assay metadata align across the NHS reanalysis and original tumor study.</x:v>
      </x:c>
      <x:c r="W14" s="26" t="str">
        <x:v>https://www.ncbi.nlm.nih.gov/geo/query/acc.cgi?acc=GSM3183580&amp;targ=self&amp;form=text&amp;view=full; https://www.ncbi.nlm.nih.gov/geo/query/acc.cgi?acc=GSM2458475&amp;targ=self&amp;form=text&amp;view=full; https://www.ncbi.nlm.nih.gov/geo/query/acc.cgi?acc=GSE115577; https://www.ncbi.nlm.nih.gov/geo/query/acc.cgi?acc=GSE93601</x:v>
      </x:c>
      <x:c r="X14" s="27" t="str">
        <x:v>2026-09-27</x:v>
      </x:c>
      <x:c r="Y14" s="26" t="str">
        <x:v>Naol Beyene</x:v>
      </x:c>
      <x:c r="Z14" s="32" t="str">
        <x:v>Verified</x:v>
      </x:c>
      <x:c r="AA14" s="32" t="str">
        <x:v>Author manually verified the classification and cited evidence.</x:v>
      </x:c>
    </x:row>
    <x:row r="15" ht="42" customHeight="1">
      <x:c r="A15" s="22" t="str">
        <x:v>mdamb435</x:v>
      </x:c>
      <x:c r="B15" s="22" t="str">
        <x:v>GSE16732</x:v>
      </x:c>
      <x:c r="C15" s="22" t="str">
        <x:v>GSM419272</x:v>
      </x:c>
      <x:c r="D15" s="22" t="str">
        <x:v>MDA-MB-435</x:v>
      </x:c>
      <x:c r="E15" s="22" t="str">
        <x:v>GSE41119</x:v>
      </x:c>
      <x:c r="F15" s="22" t="str">
        <x:v>GSM1008908</x:v>
      </x:c>
      <x:c r="G15" s="22" t="str">
        <x:v>MDAMB435</x:v>
      </x:c>
      <x:c r="H15" s="22" t="str">
        <x:v>False</x:v>
      </x:c>
      <x:c r="I15" s="22" t="str">
        <x:v>False</x:v>
      </x:c>
      <x:c r="J15" s="22" t="str">
        <x:v>False</x:v>
      </x:c>
      <x:c r="K15" s="22" t="str">
        <x:v>False</x:v>
      </x:c>
      <x:c r="L15" s="22" t="str">
        <x:v>Affymetrix Gene Chip Human Exon 1.0 ST Array expression profiling of 41 human breast cancer cell lines</x:v>
      </x:c>
      <x:c r="M15" s="22" t="str">
        <x:v>Molecular Characterization of Basal-like and Non-Basal-like Triple-Negative Breast Cancers</x:v>
      </x:c>
      <x:c r="N15" s="22" t="str">
        <x:v>https://www.ncbi.nlm.nih.gov/geo/query/acc.cgi?acc=GSE16732</x:v>
      </x:c>
      <x:c r="O15" s="22" t="str">
        <x:v>https://www.ncbi.nlm.nih.gov/geo/query/acc.cgi?acc=GSE41119</x:v>
      </x:c>
      <x:c r="P15" s="22" t="str"/>
      <x:c r="Q15" s="22" t="str"/>
      <x:c r="R15" s="22" t="str">
        <x:v>OpenAI Codex structured public-record review</x:v>
      </x:c>
      <x:c r="S15" s="22" t="str">
        <x:v>14</x:v>
      </x:c>
      <x:c r="T15" s="26" t="str">
        <x:v>evidence against identity</x:v>
      </x:c>
      <x:c r="U15" s="26" t="str">
        <x:v>False</x:v>
      </x:c>
      <x:c r="V15" s="26" t="str">
        <x:v>Matching short/local title conflicts with study or specimen metadata (source: Breast cancer cell lines | Human Reference; contact countries: Netherlands | USA); no shared publication or BioProject establishes identity.</x:v>
      </x:c>
      <x:c r="W15" s="26" t="str">
        <x:v>https://www.ncbi.nlm.nih.gov/geo/query/acc.cgi?acc=GSM419272&amp;targ=self&amp;form=text&amp;view=full; https://www.ncbi.nlm.nih.gov/geo/query/acc.cgi?acc=GSM1008908&amp;targ=self&amp;form=text&amp;view=full; https://www.ncbi.nlm.nih.gov/geo/query/acc.cgi?acc=GSE16732; https://www.ncbi.nlm.nih.gov/geo/query/acc.cgi?acc=GSE41119</x:v>
      </x:c>
      <x:c r="X15" s="27" t="str">
        <x:v>2026-09-27</x:v>
      </x:c>
      <x:c r="Y15" s="26" t="str">
        <x:v>Naol Beyene</x:v>
      </x:c>
      <x:c r="Z15" s="32" t="str">
        <x:v>Verified</x:v>
      </x:c>
      <x:c r="AA15" s="32" t="str">
        <x:v>Author manually verified the classification and cited evidence.</x:v>
      </x:c>
    </x:row>
    <x:row r="16" ht="42" customHeight="1">
      <x:c r="A16" s="22" t="str">
        <x:v>ffpex216457839x50x46plate1nhsii</x:v>
      </x:c>
      <x:c r="B16" s="22" t="str">
        <x:v>GSE115577</x:v>
      </x:c>
      <x:c r="C16" s="22" t="str">
        <x:v>GSM3183835</x:v>
      </x:c>
      <x:c r="D16" s="22" t="str">
        <x:v>FFPE X216457839 [X50_X.46_plate1NHSII]</x:v>
      </x:c>
      <x:c r="E16" s="22" t="str">
        <x:v>GSE93601</x:v>
      </x:c>
      <x:c r="F16" s="22" t="str">
        <x:v>GSM2458234</x:v>
      </x:c>
      <x:c r="G16" s="22" t="str">
        <x:v>FFPE_X216457839 [X50_X.46_plate1NHSII]</x:v>
      </x:c>
      <x:c r="H16" s="22" t="str">
        <x:v>False</x:v>
      </x:c>
      <x:c r="I16" s="22" t="str">
        <x:v>False</x:v>
      </x:c>
      <x:c r="J16" s="22" t="str">
        <x:v>False</x:v>
      </x:c>
      <x:c r="K16" s="22" t="str">
        <x:v>False</x:v>
      </x:c>
      <x:c r="L16" s="22" t="str">
        <x:v>Tumor &amp; Tumor-Adj Gene Expression in the Nurses' Health Study Cohorts</x:v>
      </x:c>
      <x:c r="M16" s="22" t="str">
        <x:v>Alcohol Consumption and Breast Tumor Gene Expression</x:v>
      </x:c>
      <x:c r="N16" s="22" t="str">
        <x:v>https://www.ncbi.nlm.nih.gov/geo/query/acc.cgi?acc=GSE115577</x:v>
      </x:c>
      <x:c r="O16" s="22" t="str">
        <x:v>https://www.ncbi.nlm.nih.gov/geo/query/acc.cgi?acc=GSE93601</x:v>
      </x:c>
      <x:c r="P16" s="22" t="str"/>
      <x:c r="Q16" s="22" t="str"/>
      <x:c r="R16" s="22" t="str">
        <x:v>OpenAI Codex structured public-record review</x:v>
      </x:c>
      <x:c r="S16" s="22" t="str">
        <x:v>15</x:v>
      </x:c>
      <x:c r="T16" s="26" t="str">
        <x:v>confirmed same patient/sample/material</x:v>
      </x:c>
      <x:c r="U16" s="26" t="str">
        <x:v>True</x:v>
      </x:c>
      <x:c r="V16" s="26" t="str">
        <x:v>Unique NHS patient/material identifier and plate label recur; tissue, age/year, cohort, and assay metadata align across the NHS reanalysis and original tumor study.</x:v>
      </x:c>
      <x:c r="W16" s="26" t="str">
        <x:v>https://www.ncbi.nlm.nih.gov/geo/query/acc.cgi?acc=GSM3183835&amp;targ=self&amp;form=text&amp;view=full; https://www.ncbi.nlm.nih.gov/geo/query/acc.cgi?acc=GSM2458234&amp;targ=self&amp;form=text&amp;view=full; https://www.ncbi.nlm.nih.gov/geo/query/acc.cgi?acc=GSE115577; https://www.ncbi.nlm.nih.gov/geo/query/acc.cgi?acc=GSE93601</x:v>
      </x:c>
      <x:c r="X16" s="27" t="str">
        <x:v>2026-09-27</x:v>
      </x:c>
      <x:c r="Y16" s="26" t="str">
        <x:v>Naol Beyene</x:v>
      </x:c>
      <x:c r="Z16" s="32" t="str">
        <x:v>Verified</x:v>
      </x:c>
      <x:c r="AA16" s="32" t="str">
        <x:v>Author manually verified the classification and cited evidence.</x:v>
      </x:c>
    </x:row>
    <x:row r="17" ht="42" customHeight="1">
      <x:c r="A17" s="22" t="str">
        <x:v>bt474</x:v>
      </x:c>
      <x:c r="B17" s="22" t="str">
        <x:v>GSE24578</x:v>
      </x:c>
      <x:c r="C17" s="22" t="str">
        <x:v>GSM605919</x:v>
      </x:c>
      <x:c r="D17" s="22" t="str">
        <x:v>BT474</x:v>
      </x:c>
      <x:c r="E17" s="22" t="str">
        <x:v>GSE87006</x:v>
      </x:c>
      <x:c r="F17" s="22" t="str">
        <x:v>GSM2318756</x:v>
      </x:c>
      <x:c r="G17" s="22" t="str">
        <x:v>BT474</x:v>
      </x:c>
      <x:c r="H17" s="22" t="str">
        <x:v>False</x:v>
      </x:c>
      <x:c r="I17" s="22" t="str">
        <x:v>False</x:v>
      </x:c>
      <x:c r="J17" s="22" t="str">
        <x:v>False</x:v>
      </x:c>
      <x:c r="K17" s="22" t="str">
        <x:v>False</x:v>
      </x:c>
      <x:c r="L17" s="22" t="str">
        <x:v>Basal gene expression of breast cancer cell lines</x:v>
      </x:c>
      <x:c r="M17" s="22" t="str">
        <x:v>CDK4 phosphorylation status and a linked gene expression profile predict sensitivity to Palbociclib [lines]</x:v>
      </x:c>
      <x:c r="N17" s="22" t="str">
        <x:v>https://www.ncbi.nlm.nih.gov/geo/query/acc.cgi?acc=GSE24578</x:v>
      </x:c>
      <x:c r="O17" s="22" t="str">
        <x:v>https://www.ncbi.nlm.nih.gov/geo/query/acc.cgi?acc=GSE87006</x:v>
      </x:c>
      <x:c r="P17" s="22" t="str"/>
      <x:c r="Q17" s="22" t="str"/>
      <x:c r="R17" s="22" t="str">
        <x:v>OpenAI Codex structured public-record review</x:v>
      </x:c>
      <x:c r="S17" s="22" t="str">
        <x:v>16</x:v>
      </x:c>
      <x:c r="T17" s="26" t="str">
        <x:v>related study/model but identity not established</x:v>
      </x:c>
      <x:c r="U17" s="26" t="str">
        <x:v>False</x:v>
      </x:c>
      <x:c r="V17" s="26" t="str">
        <x:v>The records name the same established cell-line/model, but separate studies and culture/assay metadata do not establish the same physical aliquot (source: Cultured cell line | ATCC; contact countries: USA | Belgium).</x:v>
      </x:c>
      <x:c r="W17" s="26" t="str">
        <x:v>https://www.ncbi.nlm.nih.gov/geo/query/acc.cgi?acc=GSM605919&amp;targ=self&amp;form=text&amp;view=full; https://www.ncbi.nlm.nih.gov/geo/query/acc.cgi?acc=GSM2318756&amp;targ=self&amp;form=text&amp;view=full; https://www.ncbi.nlm.nih.gov/geo/query/acc.cgi?acc=GSE24578; https://www.ncbi.nlm.nih.gov/geo/query/acc.cgi?acc=GSE87006</x:v>
      </x:c>
      <x:c r="X17" s="27" t="str">
        <x:v>2026-09-27</x:v>
      </x:c>
      <x:c r="Y17" s="26" t="str">
        <x:v>Naol Beyene</x:v>
      </x:c>
      <x:c r="Z17" s="32" t="str">
        <x:v>Verified</x:v>
      </x:c>
      <x:c r="AA17" s="32" t="str">
        <x:v>Author manually verified the classification and cited evidence.</x:v>
      </x:c>
    </x:row>
    <x:row r="18" ht="42" customHeight="1">
      <x:c r="A18" s="22" t="str">
        <x:v>ffpex112579616x47147plate2</x:v>
      </x:c>
      <x:c r="B18" s="22" t="str">
        <x:v>GSE115577</x:v>
      </x:c>
      <x:c r="C18" s="22" t="str">
        <x:v>GSM3182869</x:v>
      </x:c>
      <x:c r="D18" s="22" t="str">
        <x:v>FFPE X112579616 [X47_147_plate2]</x:v>
      </x:c>
      <x:c r="E18" s="22" t="str">
        <x:v>GSE93601</x:v>
      </x:c>
      <x:c r="F18" s="22" t="str">
        <x:v>GSM2457827</x:v>
      </x:c>
      <x:c r="G18" s="22" t="str">
        <x:v>FFPE_X112579616 [X47_147_plate2]</x:v>
      </x:c>
      <x:c r="H18" s="22" t="str">
        <x:v>False</x:v>
      </x:c>
      <x:c r="I18" s="22" t="str">
        <x:v>False</x:v>
      </x:c>
      <x:c r="J18" s="22" t="str">
        <x:v>False</x:v>
      </x:c>
      <x:c r="K18" s="22" t="str">
        <x:v>False</x:v>
      </x:c>
      <x:c r="L18" s="22" t="str">
        <x:v>Tumor &amp; Tumor-Adj Gene Expression in the Nurses' Health Study Cohorts</x:v>
      </x:c>
      <x:c r="M18" s="22" t="str">
        <x:v>Alcohol Consumption and Breast Tumor Gene Expression</x:v>
      </x:c>
      <x:c r="N18" s="22" t="str">
        <x:v>https://www.ncbi.nlm.nih.gov/geo/query/acc.cgi?acc=GSE115577</x:v>
      </x:c>
      <x:c r="O18" s="22" t="str">
        <x:v>https://www.ncbi.nlm.nih.gov/geo/query/acc.cgi?acc=GSE93601</x:v>
      </x:c>
      <x:c r="P18" s="22" t="str"/>
      <x:c r="Q18" s="22" t="str"/>
      <x:c r="R18" s="22" t="str">
        <x:v>OpenAI Codex structured public-record review</x:v>
      </x:c>
      <x:c r="S18" s="22" t="str">
        <x:v>17</x:v>
      </x:c>
      <x:c r="T18" s="26" t="str">
        <x:v>confirmed same patient/sample/material</x:v>
      </x:c>
      <x:c r="U18" s="26" t="str">
        <x:v>True</x:v>
      </x:c>
      <x:c r="V18" s="26" t="str">
        <x:v>Unique NHS patient/material identifier and plate label recur; tissue, age/year, cohort, and assay metadata align across the NHS reanalysis and original tumor study.</x:v>
      </x:c>
      <x:c r="W18" s="26" t="str">
        <x:v>https://www.ncbi.nlm.nih.gov/geo/query/acc.cgi?acc=GSM3182869&amp;targ=self&amp;form=text&amp;view=full; https://www.ncbi.nlm.nih.gov/geo/query/acc.cgi?acc=GSM2457827&amp;targ=self&amp;form=text&amp;view=full; https://www.ncbi.nlm.nih.gov/geo/query/acc.cgi?acc=GSE115577; https://www.ncbi.nlm.nih.gov/geo/query/acc.cgi?acc=GSE93601</x:v>
      </x:c>
      <x:c r="X18" s="27" t="str">
        <x:v>2026-09-27</x:v>
      </x:c>
      <x:c r="Y18" s="26" t="str">
        <x:v>Naol Beyene</x:v>
      </x:c>
      <x:c r="Z18" s="32" t="str">
        <x:v>Verified</x:v>
      </x:c>
      <x:c r="AA18" s="32" t="str">
        <x:v>Author manually verified the classification and cited evidence.</x:v>
      </x:c>
    </x:row>
    <x:row r="19" ht="42" customHeight="1">
      <x:c r="A19" s="22" t="str">
        <x:v>mcf10a</x:v>
      </x:c>
      <x:c r="B19" s="22" t="str">
        <x:v>GSE2603</x:v>
      </x:c>
      <x:c r="C19" s="22" t="str">
        <x:v>GSM50033</x:v>
      </x:c>
      <x:c r="D19" s="22" t="str">
        <x:v>MCF10A</x:v>
      </x:c>
      <x:c r="E19" s="22" t="str">
        <x:v>GSE50470</x:v>
      </x:c>
      <x:c r="F19" s="22" t="str">
        <x:v>GSM756371</x:v>
      </x:c>
      <x:c r="G19" s="22" t="str">
        <x:v>MCF10A</x:v>
      </x:c>
      <x:c r="H19" s="22" t="str">
        <x:v>False</x:v>
      </x:c>
      <x:c r="I19" s="22" t="str">
        <x:v>False</x:v>
      </x:c>
      <x:c r="J19" s="22" t="str">
        <x:v>False</x:v>
      </x:c>
      <x:c r="K19" s="22" t="str">
        <x:v>False</x:v>
      </x:c>
      <x:c r="L19" s="22" t="str">
        <x:v>Subpopulations of MDA-MB-231 and Primary Breast Cancers</x:v>
      </x:c>
      <x:c r="M19" s="22" t="str">
        <x:v>Characterization of Cell Lines Derived from Breast Cancers and Normal Mammary Tissues for the Study of the Intrinsic Molecular Subtypes</x:v>
      </x:c>
      <x:c r="N19" s="22" t="str">
        <x:v>https://www.ncbi.nlm.nih.gov/geo/query/acc.cgi?acc=GSE2603</x:v>
      </x:c>
      <x:c r="O19" s="22" t="str">
        <x:v>https://www.ncbi.nlm.nih.gov/geo/query/acc.cgi?acc=GSE50470</x:v>
      </x:c>
      <x:c r="P19" s="22" t="str"/>
      <x:c r="Q19" s="22" t="str"/>
      <x:c r="R19" s="22" t="str">
        <x:v>OpenAI Codex structured public-record review</x:v>
      </x:c>
      <x:c r="S19" s="22" t="str">
        <x:v>18</x:v>
      </x:c>
      <x:c r="T19" s="26" t="str">
        <x:v>related study/model but identity not established</x:v>
      </x:c>
      <x:c r="U19" s="26" t="str">
        <x:v>False</x:v>
      </x:c>
      <x:c r="V19" s="26" t="str">
        <x:v>The records name the same established cell-line/model, but separate studies and culture/assay metadata do not establish the same physical aliquot (source: Breast cancer cell line | Human Reference B; contact countries: USA | USA).</x:v>
      </x:c>
      <x:c r="W19" s="26" t="str">
        <x:v>https://www.ncbi.nlm.nih.gov/geo/query/acc.cgi?acc=GSM50033&amp;targ=self&amp;form=text&amp;view=full; https://www.ncbi.nlm.nih.gov/geo/query/acc.cgi?acc=GSM756371&amp;targ=self&amp;form=text&amp;view=full; https://www.ncbi.nlm.nih.gov/geo/query/acc.cgi?acc=GSE2603; https://www.ncbi.nlm.nih.gov/geo/query/acc.cgi?acc=GSE50470</x:v>
      </x:c>
      <x:c r="X19" s="27" t="str">
        <x:v>2026-09-27</x:v>
      </x:c>
      <x:c r="Y19" s="26" t="str">
        <x:v>Naol Beyene</x:v>
      </x:c>
      <x:c r="Z19" s="32" t="str">
        <x:v>Verified</x:v>
      </x:c>
      <x:c r="AA19" s="32" t="str">
        <x:v>Author manually verified the classification and cited evidence.</x:v>
      </x:c>
    </x:row>
    <x:row r="20" ht="42" customHeight="1">
      <x:c r="A20" s="22" t="str">
        <x:v>ffpex113340432x83693</x:v>
      </x:c>
      <x:c r="B20" s="22" t="str">
        <x:v>GSE115577</x:v>
      </x:c>
      <x:c r="C20" s="22" t="str">
        <x:v>GSM3183292</x:v>
      </x:c>
      <x:c r="D20" s="22" t="str">
        <x:v>FFPE X113340432 [X83_693]</x:v>
      </x:c>
      <x:c r="E20" s="22" t="str">
        <x:v>GSE93601</x:v>
      </x:c>
      <x:c r="F20" s="22" t="str">
        <x:v>GSM2457854</x:v>
      </x:c>
      <x:c r="G20" s="22" t="str">
        <x:v>FFPE_X113340432 [X83_693]</x:v>
      </x:c>
      <x:c r="H20" s="22" t="str">
        <x:v>False</x:v>
      </x:c>
      <x:c r="I20" s="22" t="str">
        <x:v>False</x:v>
      </x:c>
      <x:c r="J20" s="22" t="str">
        <x:v>False</x:v>
      </x:c>
      <x:c r="K20" s="22" t="str">
        <x:v>False</x:v>
      </x:c>
      <x:c r="L20" s="22" t="str">
        <x:v>Tumor &amp; Tumor-Adj Gene Expression in the Nurses' Health Study Cohorts</x:v>
      </x:c>
      <x:c r="M20" s="22" t="str">
        <x:v>Alcohol Consumption and Breast Tumor Gene Expression</x:v>
      </x:c>
      <x:c r="N20" s="22" t="str">
        <x:v>https://www.ncbi.nlm.nih.gov/geo/query/acc.cgi?acc=GSE115577</x:v>
      </x:c>
      <x:c r="O20" s="22" t="str">
        <x:v>https://www.ncbi.nlm.nih.gov/geo/query/acc.cgi?acc=GSE93601</x:v>
      </x:c>
      <x:c r="P20" s="22" t="str"/>
      <x:c r="Q20" s="22" t="str"/>
      <x:c r="R20" s="22" t="str">
        <x:v>OpenAI Codex structured public-record review</x:v>
      </x:c>
      <x:c r="S20" s="22" t="str">
        <x:v>19</x:v>
      </x:c>
      <x:c r="T20" s="26" t="str">
        <x:v>confirmed same patient/sample/material</x:v>
      </x:c>
      <x:c r="U20" s="26" t="str">
        <x:v>True</x:v>
      </x:c>
      <x:c r="V20" s="26" t="str">
        <x:v>Unique NHS patient/material identifier and plate label recur; tissue, age/year, cohort, and assay metadata align across the NHS reanalysis and original tumor study.</x:v>
      </x:c>
      <x:c r="W20" s="26" t="str">
        <x:v>https://www.ncbi.nlm.nih.gov/geo/query/acc.cgi?acc=GSM3183292&amp;targ=self&amp;form=text&amp;view=full; https://www.ncbi.nlm.nih.gov/geo/query/acc.cgi?acc=GSM2457854&amp;targ=self&amp;form=text&amp;view=full; https://www.ncbi.nlm.nih.gov/geo/query/acc.cgi?acc=GSE115577; https://www.ncbi.nlm.nih.gov/geo/query/acc.cgi?acc=GSE93601</x:v>
      </x:c>
      <x:c r="X20" s="27" t="str">
        <x:v>2026-09-27</x:v>
      </x:c>
      <x:c r="Y20" s="26" t="str">
        <x:v>Naol Beyene</x:v>
      </x:c>
      <x:c r="Z20" s="32" t="str">
        <x:v>Verified</x:v>
      </x:c>
      <x:c r="AA20" s="32" t="str">
        <x:v>Author manually verified the classification and cited evidence.</x:v>
      </x:c>
    </x:row>
    <x:row r="21" ht="42" customHeight="1">
      <x:c r="A21" s="22" t="str">
        <x:v>hcc70</x:v>
      </x:c>
      <x:c r="B21" s="22" t="str">
        <x:v>GSE152908</x:v>
      </x:c>
      <x:c r="C21" s="22" t="str">
        <x:v>GSM4629395</x:v>
      </x:c>
      <x:c r="D21" s="22" t="str">
        <x:v>HCC70</x:v>
      </x:c>
      <x:c r="E21" s="22" t="str">
        <x:v>GSE173634</x:v>
      </x:c>
      <x:c r="F21" s="22" t="str">
        <x:v>GSM5272813</x:v>
      </x:c>
      <x:c r="G21" s="22" t="str">
        <x:v>HCC70</x:v>
      </x:c>
      <x:c r="H21" s="22" t="str">
        <x:v>False</x:v>
      </x:c>
      <x:c r="I21" s="22" t="str">
        <x:v>False</x:v>
      </x:c>
      <x:c r="J21" s="22" t="str">
        <x:v>False</x:v>
      </x:c>
      <x:c r="K21" s="22" t="str">
        <x:v>False</x:v>
      </x:c>
      <x:c r="L21" s="22" t="str">
        <x:v>Transcriptomic profiling of 62 breast cancer cell lines and PDX models</x:v>
      </x:c>
      <x:c r="M21" s="22" t="str">
        <x:v>Molecular phenotyping of breast cancer cell lines at the single-cell level for automated tumour diagnosis and prediction of drug sensitivity</x:v>
      </x:c>
      <x:c r="N21" s="22" t="str">
        <x:v>https://www.ncbi.nlm.nih.gov/geo/query/acc.cgi?acc=GSE152908</x:v>
      </x:c>
      <x:c r="O21" s="22" t="str">
        <x:v>https://www.ncbi.nlm.nih.gov/geo/query/acc.cgi?acc=GSE173634</x:v>
      </x:c>
      <x:c r="P21" s="22" t="str"/>
      <x:c r="Q21" s="22" t="str"/>
      <x:c r="R21" s="22" t="str">
        <x:v>OpenAI Codex structured public-record review</x:v>
      </x:c>
      <x:c r="S21" s="22" t="str">
        <x:v>20</x:v>
      </x:c>
      <x:c r="T21" s="26" t="str">
        <x:v>related study/model but identity not established</x:v>
      </x:c>
      <x:c r="U21" s="26" t="str">
        <x:v>False</x:v>
      </x:c>
      <x:c r="V21" s="26" t="str">
        <x:v>The records name the same established cell-line/model, but separate studies and culture/assay metadata do not establish the same physical aliquot (source: breast cancer cell line | Immortalized Breast Cancer Cell-line; contact countries: USA | Italy).</x:v>
      </x:c>
      <x:c r="W21" s="26" t="str">
        <x:v>https://www.ncbi.nlm.nih.gov/geo/query/acc.cgi?acc=GSM4629395&amp;targ=self&amp;form=text&amp;view=full; https://www.ncbi.nlm.nih.gov/geo/query/acc.cgi?acc=GSM5272813&amp;targ=self&amp;form=text&amp;view=full; https://www.ncbi.nlm.nih.gov/geo/query/acc.cgi?acc=GSE152908; https://www.ncbi.nlm.nih.gov/geo/query/acc.cgi?acc=GSE173634</x:v>
      </x:c>
      <x:c r="X21" s="27" t="str">
        <x:v>2026-09-27</x:v>
      </x:c>
      <x:c r="Y21" s="26" t="str">
        <x:v>Naol Beyene</x:v>
      </x:c>
      <x:c r="Z21" s="32" t="str">
        <x:v>Verified</x:v>
      </x:c>
      <x:c r="AA21" s="32" t="str">
        <x:v>Author manually verified the classification and cited evidence.</x:v>
      </x:c>
    </x:row>
    <x:row r="22" ht="42" customHeight="1">
      <x:c r="A22" s="22" t="str">
        <x:v>sum159wt</x:v>
      </x:c>
      <x:c r="B22" s="22" t="str">
        <x:v>GSE125802</x:v>
      </x:c>
      <x:c r="C22" s="22" t="str">
        <x:v>GSM3582031</x:v>
      </x:c>
      <x:c r="D22" s="22" t="str">
        <x:v>SUM159 WT</x:v>
      </x:c>
      <x:c r="E22" s="22" t="str">
        <x:v>GSE306759</x:v>
      </x:c>
      <x:c r="F22" s="22" t="str">
        <x:v>GSM9207315</x:v>
      </x:c>
      <x:c r="G22" s="22" t="str">
        <x:v>SUM159-WT</x:v>
      </x:c>
      <x:c r="H22" s="22" t="str">
        <x:v>False</x:v>
      </x:c>
      <x:c r="I22" s="22" t="str">
        <x:v>False</x:v>
      </x:c>
      <x:c r="J22" s="22" t="str">
        <x:v>False</x:v>
      </x:c>
      <x:c r="K22" s="22" t="str">
        <x:v>False</x:v>
      </x:c>
      <x:c r="L22" s="22" t="str">
        <x:v>Plasminogen activator inhibitor 1 (PAI1) promotes actin cytoskeleton reorganization and glycolytic metabolism in triple negative breast cancer</x:v>
      </x:c>
      <x:c r="M22" s="22" t="str">
        <x:v>Effect of palmitate on breast cancer cells according to CD36 expression</x:v>
      </x:c>
      <x:c r="N22" s="22" t="str">
        <x:v>https://www.ncbi.nlm.nih.gov/geo/query/acc.cgi?acc=GSE125802</x:v>
      </x:c>
      <x:c r="O22" s="22" t="str">
        <x:v>https://www.ncbi.nlm.nih.gov/geo/query/acc.cgi?acc=GSE306759</x:v>
      </x:c>
      <x:c r="P22" s="22" t="str"/>
      <x:c r="Q22" s="22" t="str"/>
      <x:c r="R22" s="22" t="str">
        <x:v>OpenAI Codex structured public-record review</x:v>
      </x:c>
      <x:c r="S22" s="22" t="str">
        <x:v>21</x:v>
      </x:c>
      <x:c r="T22" s="26" t="str">
        <x:v>related study/model but identity not established</x:v>
      </x:c>
      <x:c r="U22" s="26" t="str">
        <x:v>False</x:v>
      </x:c>
      <x:c r="V22" s="26" t="str">
        <x:v>The records name the same established cell-line/model, but separate studies and culture/assay metadata do not establish the same physical aliquot (source: Breast cancer cell line | SUM159; contact countries: USA | France).</x:v>
      </x:c>
      <x:c r="W22" s="26" t="str">
        <x:v>https://www.ncbi.nlm.nih.gov/geo/query/acc.cgi?acc=GSM3582031&amp;targ=self&amp;form=text&amp;view=full; https://www.ncbi.nlm.nih.gov/geo/query/acc.cgi?acc=GSM9207315&amp;targ=self&amp;form=text&amp;view=full; https://www.ncbi.nlm.nih.gov/geo/query/acc.cgi?acc=GSE125802; https://www.ncbi.nlm.nih.gov/geo/query/acc.cgi?acc=GSE306759</x:v>
      </x:c>
      <x:c r="X22" s="27" t="str">
        <x:v>2026-09-27</x:v>
      </x:c>
      <x:c r="Y22" s="26" t="str">
        <x:v>Naol Beyene</x:v>
      </x:c>
      <x:c r="Z22" s="32" t="str">
        <x:v>Verified</x:v>
      </x:c>
      <x:c r="AA22" s="32" t="str">
        <x:v>Author manually verified the classification and cited evidence.</x:v>
      </x:c>
    </x:row>
    <x:row r="23" ht="42" customHeight="1">
      <x:c r="A23" s="22" t="str">
        <x:v>bt474</x:v>
      </x:c>
      <x:c r="B23" s="22" t="str">
        <x:v>GSE52643</x:v>
      </x:c>
      <x:c r="C23" s="22" t="str">
        <x:v>GSM1273492</x:v>
      </x:c>
      <x:c r="D23" s="22" t="str">
        <x:v>BT-474</x:v>
      </x:c>
      <x:c r="E23" s="22" t="str">
        <x:v>GSE87008</x:v>
      </x:c>
      <x:c r="F23" s="22" t="str">
        <x:v>GSM2318756</x:v>
      </x:c>
      <x:c r="G23" s="22" t="str">
        <x:v>BT474</x:v>
      </x:c>
      <x:c r="H23" s="22" t="str">
        <x:v>False</x:v>
      </x:c>
      <x:c r="I23" s="22" t="str">
        <x:v>False</x:v>
      </x:c>
      <x:c r="J23" s="22" t="str">
        <x:v>False</x:v>
      </x:c>
      <x:c r="K23" s="22" t="str">
        <x:v>False</x:v>
      </x:c>
      <x:c r="L23" s="22" t="str">
        <x:v>Fusion discovery in breast cancer cell line</x:v>
      </x:c>
      <x:c r="M23" s="22" t="str">
        <x:v>CDK4 phosphorylation status and a linked gene expression profile predict sensitivity to Palbociclib</x:v>
      </x:c>
      <x:c r="N23" s="22" t="str">
        <x:v>https://www.ncbi.nlm.nih.gov/geo/query/acc.cgi?acc=GSE52643</x:v>
      </x:c>
      <x:c r="O23" s="22" t="str">
        <x:v>https://www.ncbi.nlm.nih.gov/geo/query/acc.cgi?acc=GSE87008</x:v>
      </x:c>
      <x:c r="P23" s="22" t="str"/>
      <x:c r="Q23" s="22" t="str"/>
      <x:c r="R23" s="22" t="str">
        <x:v>OpenAI Codex structured public-record review</x:v>
      </x:c>
      <x:c r="S23" s="22" t="str">
        <x:v>22</x:v>
      </x:c>
      <x:c r="T23" s="26" t="str">
        <x:v>related study/model but identity not established</x:v>
      </x:c>
      <x:c r="U23" s="26" t="str">
        <x:v>False</x:v>
      </x:c>
      <x:c r="V23" s="26" t="str">
        <x:v>The records name the same established cell-line/model, but separate studies and culture/assay metadata do not establish the same physical aliquot (source: breast cancer cell line | ATCC; contact countries: USA | Belgium).</x:v>
      </x:c>
      <x:c r="W23" s="26" t="str">
        <x:v>https://www.ncbi.nlm.nih.gov/geo/query/acc.cgi?acc=GSM1273492&amp;targ=self&amp;form=text&amp;view=full; https://www.ncbi.nlm.nih.gov/geo/query/acc.cgi?acc=GSM2318756&amp;targ=self&amp;form=text&amp;view=full; https://www.ncbi.nlm.nih.gov/geo/query/acc.cgi?acc=GSE52643; https://www.ncbi.nlm.nih.gov/geo/query/acc.cgi?acc=GSE87008</x:v>
      </x:c>
      <x:c r="X23" s="27" t="str">
        <x:v>2026-09-27</x:v>
      </x:c>
      <x:c r="Y23" s="26" t="str">
        <x:v>Naol Beyene</x:v>
      </x:c>
      <x:c r="Z23" s="32" t="str">
        <x:v>Verified</x:v>
      </x:c>
      <x:c r="AA23" s="32" t="str">
        <x:v>Author manually verified the classification and cited evidence.</x:v>
      </x:c>
    </x:row>
    <x:row r="24" ht="42" customHeight="1">
      <x:c r="A24" s="22" t="str">
        <x:v>ffpex110768079x26448plate5</x:v>
      </x:c>
      <x:c r="B24" s="22" t="str">
        <x:v>GSE115577</x:v>
      </x:c>
      <x:c r="C24" s="22" t="str">
        <x:v>GSM3183084</x:v>
      </x:c>
      <x:c r="D24" s="22" t="str">
        <x:v>FFPE X110768079 [X26_448_plate5]</x:v>
      </x:c>
      <x:c r="E24" s="22" t="str">
        <x:v>GSE93601</x:v>
      </x:c>
      <x:c r="F24" s="22" t="str">
        <x:v>GSM2457732</x:v>
      </x:c>
      <x:c r="G24" s="22" t="str">
        <x:v>FFPE_X110768079 [X26_448_plate5]</x:v>
      </x:c>
      <x:c r="H24" s="22" t="str">
        <x:v>False</x:v>
      </x:c>
      <x:c r="I24" s="22" t="str">
        <x:v>False</x:v>
      </x:c>
      <x:c r="J24" s="22" t="str">
        <x:v>False</x:v>
      </x:c>
      <x:c r="K24" s="22" t="str">
        <x:v>False</x:v>
      </x:c>
      <x:c r="L24" s="22" t="str">
        <x:v>Tumor &amp; Tumor-Adj Gene Expression in the Nurses' Health Study Cohorts</x:v>
      </x:c>
      <x:c r="M24" s="22" t="str">
        <x:v>Alcohol Consumption and Breast Tumor Gene Expression</x:v>
      </x:c>
      <x:c r="N24" s="22" t="str">
        <x:v>https://www.ncbi.nlm.nih.gov/geo/query/acc.cgi?acc=GSE115577</x:v>
      </x:c>
      <x:c r="O24" s="22" t="str">
        <x:v>https://www.ncbi.nlm.nih.gov/geo/query/acc.cgi?acc=GSE93601</x:v>
      </x:c>
      <x:c r="P24" s="22" t="str"/>
      <x:c r="Q24" s="22" t="str"/>
      <x:c r="R24" s="22" t="str">
        <x:v>OpenAI Codex structured public-record review</x:v>
      </x:c>
      <x:c r="S24" s="22" t="str">
        <x:v>23</x:v>
      </x:c>
      <x:c r="T24" s="26" t="str">
        <x:v>confirmed same patient/sample/material</x:v>
      </x:c>
      <x:c r="U24" s="26" t="str">
        <x:v>True</x:v>
      </x:c>
      <x:c r="V24" s="26" t="str">
        <x:v>Unique NHS patient/material identifier and plate label recur; tissue, age/year, cohort, and assay metadata align across the NHS reanalysis and original tumor study.</x:v>
      </x:c>
      <x:c r="W24" s="26" t="str">
        <x:v>https://www.ncbi.nlm.nih.gov/geo/query/acc.cgi?acc=GSM3183084&amp;targ=self&amp;form=text&amp;view=full; https://www.ncbi.nlm.nih.gov/geo/query/acc.cgi?acc=GSM2457732&amp;targ=self&amp;form=text&amp;view=full; https://www.ncbi.nlm.nih.gov/geo/query/acc.cgi?acc=GSE115577; https://www.ncbi.nlm.nih.gov/geo/query/acc.cgi?acc=GSE93601</x:v>
      </x:c>
      <x:c r="X24" s="27" t="str">
        <x:v>2026-09-27</x:v>
      </x:c>
      <x:c r="Y24" s="26" t="str">
        <x:v>Naol Beyene</x:v>
      </x:c>
      <x:c r="Z24" s="32" t="str">
        <x:v>Verified</x:v>
      </x:c>
      <x:c r="AA24" s="32" t="str">
        <x:v>Author manually verified the classification and cited evidence.</x:v>
      </x:c>
    </x:row>
    <x:row r="25" ht="42" customHeight="1">
      <x:c r="A25" s="22" t="str">
        <x:v>ffpex213281248x46x303nhsiiplate4</x:v>
      </x:c>
      <x:c r="B25" s="22" t="str">
        <x:v>GSE115577</x:v>
      </x:c>
      <x:c r="C25" s="22" t="str">
        <x:v>GSM3183716</x:v>
      </x:c>
      <x:c r="D25" s="22" t="str">
        <x:v>FFPE X213281248 [X46_X.303_NHSIIplate4]</x:v>
      </x:c>
      <x:c r="E25" s="22" t="str">
        <x:v>GSE93601</x:v>
      </x:c>
      <x:c r="F25" s="22" t="str">
        <x:v>GSM2458486</x:v>
      </x:c>
      <x:c r="G25" s="22" t="str">
        <x:v>FFPE_X213281248 [X46_X.303_NHSIIplate4]</x:v>
      </x:c>
      <x:c r="H25" s="22" t="str">
        <x:v>False</x:v>
      </x:c>
      <x:c r="I25" s="22" t="str">
        <x:v>False</x:v>
      </x:c>
      <x:c r="J25" s="22" t="str">
        <x:v>False</x:v>
      </x:c>
      <x:c r="K25" s="22" t="str">
        <x:v>False</x:v>
      </x:c>
      <x:c r="L25" s="22" t="str">
        <x:v>Tumor &amp; Tumor-Adj Gene Expression in the Nurses' Health Study Cohorts</x:v>
      </x:c>
      <x:c r="M25" s="22" t="str">
        <x:v>Alcohol Consumption and Breast Tumor Gene Expression</x:v>
      </x:c>
      <x:c r="N25" s="22" t="str">
        <x:v>https://www.ncbi.nlm.nih.gov/geo/query/acc.cgi?acc=GSE115577</x:v>
      </x:c>
      <x:c r="O25" s="22" t="str">
        <x:v>https://www.ncbi.nlm.nih.gov/geo/query/acc.cgi?acc=GSE93601</x:v>
      </x:c>
      <x:c r="P25" s="22" t="str"/>
      <x:c r="Q25" s="22" t="str"/>
      <x:c r="R25" s="22" t="str">
        <x:v>OpenAI Codex structured public-record review</x:v>
      </x:c>
      <x:c r="S25" s="22" t="str">
        <x:v>24</x:v>
      </x:c>
      <x:c r="T25" s="26" t="str">
        <x:v>confirmed same patient/sample/material</x:v>
      </x:c>
      <x:c r="U25" s="26" t="str">
        <x:v>True</x:v>
      </x:c>
      <x:c r="V25" s="26" t="str">
        <x:v>Unique NHS patient/material identifier and plate label recur; tissue, age/year, cohort, and assay metadata align across the NHS reanalysis and original tumor study.</x:v>
      </x:c>
      <x:c r="W25" s="26" t="str">
        <x:v>https://www.ncbi.nlm.nih.gov/geo/query/acc.cgi?acc=GSM3183716&amp;targ=self&amp;form=text&amp;view=full; https://www.ncbi.nlm.nih.gov/geo/query/acc.cgi?acc=GSM2458486&amp;targ=self&amp;form=text&amp;view=full; https://www.ncbi.nlm.nih.gov/geo/query/acc.cgi?acc=GSE115577; https://www.ncbi.nlm.nih.gov/geo/query/acc.cgi?acc=GSE93601</x:v>
      </x:c>
      <x:c r="X25" s="27" t="str">
        <x:v>2026-09-27</x:v>
      </x:c>
      <x:c r="Y25" s="26" t="str">
        <x:v>Naol Beyene</x:v>
      </x:c>
      <x:c r="Z25" s="32" t="str">
        <x:v>Verified</x:v>
      </x:c>
      <x:c r="AA25" s="32" t="str">
        <x:v>Author manually verified the classification and cited evidence.</x:v>
      </x:c>
    </x:row>
    <x:row r="26" ht="42" customHeight="1">
      <x:c r="A26" s="22" t="str">
        <x:v>mdamb330</x:v>
      </x:c>
      <x:c r="B26" s="22" t="str">
        <x:v>GSE152908</x:v>
      </x:c>
      <x:c r="C26" s="22" t="str">
        <x:v>GSM4629435</x:v>
      </x:c>
      <x:c r="D26" s="22" t="str">
        <x:v>MDA-MB-330</x:v>
      </x:c>
      <x:c r="E26" s="22" t="str">
        <x:v>GSE16732</x:v>
      </x:c>
      <x:c r="F26" s="22" t="str">
        <x:v>GSM419269</x:v>
      </x:c>
      <x:c r="G26" s="22" t="str">
        <x:v>MDA-MB-330</x:v>
      </x:c>
      <x:c r="H26" s="22" t="str">
        <x:v>False</x:v>
      </x:c>
      <x:c r="I26" s="22" t="str">
        <x:v>False</x:v>
      </x:c>
      <x:c r="J26" s="22" t="str">
        <x:v>False</x:v>
      </x:c>
      <x:c r="K26" s="22" t="str">
        <x:v>False</x:v>
      </x:c>
      <x:c r="L26" s="22" t="str">
        <x:v>Transcriptomic profiling of 62 breast cancer cell lines and PDX models</x:v>
      </x:c>
      <x:c r="M26" s="22" t="str">
        <x:v>Affymetrix Gene Chip Human Exon 1.0 ST Array expression profiling of 41 human breast cancer cell lines</x:v>
      </x:c>
      <x:c r="N26" s="22" t="str">
        <x:v>https://www.ncbi.nlm.nih.gov/geo/query/acc.cgi?acc=GSE152908</x:v>
      </x:c>
      <x:c r="O26" s="22" t="str">
        <x:v>https://www.ncbi.nlm.nih.gov/geo/query/acc.cgi?acc=GSE16732</x:v>
      </x:c>
      <x:c r="P26" s="22" t="str"/>
      <x:c r="Q26" s="22" t="str"/>
      <x:c r="R26" s="22" t="str">
        <x:v>OpenAI Codex structured public-record review</x:v>
      </x:c>
      <x:c r="S26" s="22" t="str">
        <x:v>25</x:v>
      </x:c>
      <x:c r="T26" s="26" t="str">
        <x:v>related study/model but identity not established</x:v>
      </x:c>
      <x:c r="U26" s="26" t="str">
        <x:v>False</x:v>
      </x:c>
      <x:c r="V26" s="26" t="str">
        <x:v>The records name the same established cell-line/model, but separate studies and culture/assay metadata do not establish the same physical aliquot (source: breast cancer cell line | Breast cancer cell lines; contact countries: USA | Netherlands).</x:v>
      </x:c>
      <x:c r="W26" s="26" t="str">
        <x:v>https://www.ncbi.nlm.nih.gov/geo/query/acc.cgi?acc=GSM4629435&amp;targ=self&amp;form=text&amp;view=full; https://www.ncbi.nlm.nih.gov/geo/query/acc.cgi?acc=GSM419269&amp;targ=self&amp;form=text&amp;view=full; https://www.ncbi.nlm.nih.gov/geo/query/acc.cgi?acc=GSE152908; https://www.ncbi.nlm.nih.gov/geo/query/acc.cgi?acc=GSE16732</x:v>
      </x:c>
      <x:c r="X26" s="27" t="str">
        <x:v>2026-09-27</x:v>
      </x:c>
      <x:c r="Y26" s="26" t="str">
        <x:v>Naol Beyene</x:v>
      </x:c>
      <x:c r="Z26" s="32" t="str">
        <x:v>Verified</x:v>
      </x:c>
      <x:c r="AA26" s="32" t="str">
        <x:v>Author manually verified the classification and cited evidence.</x:v>
      </x:c>
    </x:row>
    <x:row r="27" ht="42" customHeight="1">
      <x:c r="A27" s="22" t="str">
        <x:v>bt20</x:v>
      </x:c>
      <x:c r="B27" s="22" t="str">
        <x:v>GSE24717</x:v>
      </x:c>
      <x:c r="C27" s="22" t="str">
        <x:v>GSM605913</x:v>
      </x:c>
      <x:c r="D27" s="22" t="str">
        <x:v>BT20</x:v>
      </x:c>
      <x:c r="E27" s="22" t="str">
        <x:v>GSE73526</x:v>
      </x:c>
      <x:c r="F27" s="22" t="str">
        <x:v>GSM1897279</x:v>
      </x:c>
      <x:c r="G27" s="22" t="str">
        <x:v>BT20</x:v>
      </x:c>
      <x:c r="H27" s="22" t="str">
        <x:v>False</x:v>
      </x:c>
      <x:c r="I27" s="22" t="str">
        <x:v>False</x:v>
      </x:c>
      <x:c r="J27" s="22" t="str">
        <x:v>False</x:v>
      </x:c>
      <x:c r="K27" s="22" t="str">
        <x:v>False</x:v>
      </x:c>
      <x:c r="L27" s="22" t="str">
        <x:v>Using a Stem Cell-Based Signature to Guide Therapeutic Selection in Cancer</x:v>
      </x:c>
      <x:c r="M27" s="22" t="str">
        <x:v>The Functional Genomic Landscape of Human Breast Cancer Drivers, Vulnerabilities, and Resistance (RNASeq)</x:v>
      </x:c>
      <x:c r="N27" s="22" t="str">
        <x:v>https://www.ncbi.nlm.nih.gov/geo/query/acc.cgi?acc=GSE24717</x:v>
      </x:c>
      <x:c r="O27" s="22" t="str">
        <x:v>https://www.ncbi.nlm.nih.gov/geo/query/acc.cgi?acc=GSE73526</x:v>
      </x:c>
      <x:c r="P27" s="22" t="str"/>
      <x:c r="Q27" s="22" t="str"/>
      <x:c r="R27" s="22" t="str">
        <x:v>OpenAI Codex structured public-record review</x:v>
      </x:c>
      <x:c r="S27" s="22" t="str">
        <x:v>26</x:v>
      </x:c>
      <x:c r="T27" s="26" t="str">
        <x:v>related study/model but identity not established</x:v>
      </x:c>
      <x:c r="U27" s="26" t="str">
        <x:v>False</x:v>
      </x:c>
      <x:c r="V27" s="26" t="str">
        <x:v>The records name the same established cell-line/model, but separate studies and culture/assay metadata do not establish the same physical aliquot (source: Cultured cell line | breast cancer cell line; contact countries: USA | Canada).</x:v>
      </x:c>
      <x:c r="W27" s="26" t="str">
        <x:v>https://www.ncbi.nlm.nih.gov/geo/query/acc.cgi?acc=GSM605913&amp;targ=self&amp;form=text&amp;view=full; https://www.ncbi.nlm.nih.gov/geo/query/acc.cgi?acc=GSM1897279&amp;targ=self&amp;form=text&amp;view=full; https://www.ncbi.nlm.nih.gov/geo/query/acc.cgi?acc=GSE24717; https://www.ncbi.nlm.nih.gov/geo/query/acc.cgi?acc=GSE73526</x:v>
      </x:c>
      <x:c r="X27" s="27" t="str">
        <x:v>2026-09-27</x:v>
      </x:c>
      <x:c r="Y27" s="26" t="str">
        <x:v>Naol Beyene</x:v>
      </x:c>
      <x:c r="Z27" s="32" t="str">
        <x:v>Verified</x:v>
      </x:c>
      <x:c r="AA27" s="32" t="str">
        <x:v>Author manually verified the classification and cited evidence.</x:v>
      </x:c>
    </x:row>
    <x:row r="28" ht="42" customHeight="1">
      <x:c r="A28" s="22" t="str">
        <x:v>pim172</x:v>
      </x:c>
      <x:c r="B28" s="22" t="str">
        <x:v>GSE264252</x:v>
      </x:c>
      <x:c r="C28" s="22" t="str">
        <x:v>GSM8215020</x:v>
      </x:c>
      <x:c r="D28" s="22" t="str">
        <x:v>PIM172</x:v>
      </x:c>
      <x:c r="E28" s="22" t="str">
        <x:v>GSE291966</x:v>
      </x:c>
      <x:c r="F28" s="22" t="str">
        <x:v>GSM8845802</x:v>
      </x:c>
      <x:c r="G28" s="22" t="str">
        <x:v>PIM172</x:v>
      </x:c>
      <x:c r="H28" s="22" t="str">
        <x:v>False</x:v>
      </x:c>
      <x:c r="I28" s="22" t="str">
        <x:v>False</x:v>
      </x:c>
      <x:c r="J28" s="22" t="str">
        <x:v>False</x:v>
      </x:c>
      <x:c r="K28" s="22" t="str">
        <x:v>False</x:v>
      </x:c>
      <x:c r="L28" s="22" t="str">
        <x:v>Targeting neddylation and sumoylation in chemoresistant triple negative breast cancer</x:v>
      </x:c>
      <x:c r="M28" s="22" t="str">
        <x:v>An annotated biobank of triple negative breast cancer patient-derived xenografts featuring treatment-naïve and longitudinal samples throughout neoadjuvant chemotherapy</x:v>
      </x:c>
      <x:c r="N28" s="22" t="str">
        <x:v>https://www.ncbi.nlm.nih.gov/geo/query/acc.cgi?acc=GSE264252</x:v>
      </x:c>
      <x:c r="O28" s="22" t="str">
        <x:v>https://www.ncbi.nlm.nih.gov/geo/query/acc.cgi?acc=GSE291966</x:v>
      </x:c>
      <x:c r="P28" s="22" t="str"/>
      <x:c r="Q28" s="22" t="str"/>
      <x:c r="R28" s="22" t="str">
        <x:v>OpenAI Codex structured public-record review</x:v>
      </x:c>
      <x:c r="S28" s="22" t="str">
        <x:v>27</x:v>
      </x:c>
      <x:c r="T28" s="26" t="str">
        <x:v>probable same patient/material</x:v>
      </x:c>
      <x:c r="U28" s="26" t="str">
        <x:v>True</x:v>
      </x:c>
      <x:c r="V28" s="26" t="str">
        <x:v>Unique PIM172 PDX identifier, mid-treatment time point, and TNBC PDX context align, but the records do not explicitly state that the same aliquot was assayed.</x:v>
      </x:c>
      <x:c r="W28" s="26" t="str">
        <x:v>https://www.ncbi.nlm.nih.gov/geo/query/acc.cgi?acc=GSM8215020&amp;targ=self&amp;form=text&amp;view=full; https://www.ncbi.nlm.nih.gov/geo/query/acc.cgi?acc=GSM8845802&amp;targ=self&amp;form=text&amp;view=full; https://www.ncbi.nlm.nih.gov/geo/query/acc.cgi?acc=GSE264252; https://www.ncbi.nlm.nih.gov/geo/query/acc.cgi?acc=GSE291966</x:v>
      </x:c>
      <x:c r="X28" s="27" t="str">
        <x:v>2026-09-27</x:v>
      </x:c>
      <x:c r="Y28" s="26" t="str">
        <x:v>Naol Beyene</x:v>
      </x:c>
      <x:c r="Z28" s="32" t="str">
        <x:v>Verified</x:v>
      </x:c>
      <x:c r="AA28" s="32" t="str">
        <x:v>Author manually verified the classification and cited evidence.</x:v>
      </x:c>
    </x:row>
    <x:row r="29" ht="42" customHeight="1">
      <x:c r="A29" s="22" t="str">
        <x:v>mcf10a2</x:v>
      </x:c>
      <x:c r="B29" s="22" t="str">
        <x:v>GSE152908</x:v>
      </x:c>
      <x:c r="C29" s="22" t="str">
        <x:v>GSM4629399</x:v>
      </x:c>
      <x:c r="D29" s="22" t="str">
        <x:v>MCF10A (2)</x:v>
      </x:c>
      <x:c r="E29" s="22" t="str">
        <x:v>GSE207696</x:v>
      </x:c>
      <x:c r="F29" s="22" t="str">
        <x:v>GSM6310590</x:v>
      </x:c>
      <x:c r="G29" s="22" t="str">
        <x:v>MCF-10A, 2</x:v>
      </x:c>
      <x:c r="H29" s="22" t="str">
        <x:v>False</x:v>
      </x:c>
      <x:c r="I29" s="22" t="str">
        <x:v>False</x:v>
      </x:c>
      <x:c r="J29" s="22" t="str">
        <x:v>False</x:v>
      </x:c>
      <x:c r="K29" s="22" t="str">
        <x:v>False</x:v>
      </x:c>
      <x:c r="L29" s="22" t="str">
        <x:v>Transcriptomic profiling of 62 breast cancer cell lines and PDX models</x:v>
      </x:c>
      <x:c r="M29" s="22" t="str">
        <x:v>Identification of recurrent chromosome breaks underlying structural rearrangements in mammary cancer cell lines [RNA-seq]</x:v>
      </x:c>
      <x:c r="N29" s="22" t="str">
        <x:v>https://www.ncbi.nlm.nih.gov/geo/query/acc.cgi?acc=GSE152908</x:v>
      </x:c>
      <x:c r="O29" s="22" t="str">
        <x:v>https://www.ncbi.nlm.nih.gov/geo/query/acc.cgi?acc=GSE207696</x:v>
      </x:c>
      <x:c r="P29" s="22" t="str"/>
      <x:c r="Q29" s="22" t="str"/>
      <x:c r="R29" s="22" t="str">
        <x:v>OpenAI Codex structured public-record review</x:v>
      </x:c>
      <x:c r="S29" s="22" t="str">
        <x:v>28</x:v>
      </x:c>
      <x:c r="T29" s="26" t="str">
        <x:v>related study/model but identity not established</x:v>
      </x:c>
      <x:c r="U29" s="26" t="str">
        <x:v>False</x:v>
      </x:c>
      <x:c r="V29" s="26" t="str">
        <x:v>The records name the same established cell-line/model, but separate studies and culture/assay metadata do not establish the same physical aliquot (source: breast cancer cell line | mammary; contact countries: USA | USA).</x:v>
      </x:c>
      <x:c r="W29" s="26" t="str">
        <x:v>https://www.ncbi.nlm.nih.gov/geo/query/acc.cgi?acc=GSM4629399&amp;targ=self&amp;form=text&amp;view=full; https://www.ncbi.nlm.nih.gov/geo/query/acc.cgi?acc=GSM6310590&amp;targ=self&amp;form=text&amp;view=full; https://www.ncbi.nlm.nih.gov/geo/query/acc.cgi?acc=GSE152908; https://www.ncbi.nlm.nih.gov/geo/query/acc.cgi?acc=GSE207696</x:v>
      </x:c>
      <x:c r="X29" s="27" t="str">
        <x:v>2026-09-27</x:v>
      </x:c>
      <x:c r="Y29" s="26" t="str">
        <x:v>Naol Beyene</x:v>
      </x:c>
      <x:c r="Z29" s="32" t="str">
        <x:v>Verified</x:v>
      </x:c>
      <x:c r="AA29" s="32" t="str">
        <x:v>Author manually verified the classification and cited evidence.</x:v>
      </x:c>
    </x:row>
    <x:row r="30" ht="42" customHeight="1">
      <x:c r="A30" s="22" t="str">
        <x:v>sum44pe</x:v>
      </x:c>
      <x:c r="B30" s="22" t="str">
        <x:v>GSE152908</x:v>
      </x:c>
      <x:c r="C30" s="22" t="str">
        <x:v>GSM4629443</x:v>
      </x:c>
      <x:c r="D30" s="22" t="str">
        <x:v>SUM44PE</x:v>
      </x:c>
      <x:c r="E30" s="22" t="str">
        <x:v>GSE16795</x:v>
      </x:c>
      <x:c r="F30" s="22" t="str">
        <x:v>GSM421886</x:v>
      </x:c>
      <x:c r="G30" s="22" t="str">
        <x:v>SUM44PE</x:v>
      </x:c>
      <x:c r="H30" s="22" t="str">
        <x:v>False</x:v>
      </x:c>
      <x:c r="I30" s="22" t="str">
        <x:v>False</x:v>
      </x:c>
      <x:c r="J30" s="22" t="str">
        <x:v>False</x:v>
      </x:c>
      <x:c r="K30" s="22" t="str">
        <x:v>False</x:v>
      </x:c>
      <x:c r="L30" s="22" t="str">
        <x:v>Transcriptomic profiling of 62 breast cancer cell lines and PDX models</x:v>
      </x:c>
      <x:c r="M30" s="22" t="str">
        <x:v>Affymetrix HG-U133A gene expression profiles of 39 human breast cancer cell lines</x:v>
      </x:c>
      <x:c r="N30" s="22" t="str">
        <x:v>https://www.ncbi.nlm.nih.gov/geo/query/acc.cgi?acc=GSE152908</x:v>
      </x:c>
      <x:c r="O30" s="22" t="str">
        <x:v>https://www.ncbi.nlm.nih.gov/geo/query/acc.cgi?acc=GSE16795</x:v>
      </x:c>
      <x:c r="P30" s="22" t="str"/>
      <x:c r="Q30" s="22" t="str"/>
      <x:c r="R30" s="22" t="str">
        <x:v>OpenAI Codex structured public-record review</x:v>
      </x:c>
      <x:c r="S30" s="22" t="str">
        <x:v>29</x:v>
      </x:c>
      <x:c r="T30" s="26" t="str">
        <x:v>related study/model but identity not established</x:v>
      </x:c>
      <x:c r="U30" s="26" t="str">
        <x:v>False</x:v>
      </x:c>
      <x:c r="V30" s="26" t="str">
        <x:v>The records name the same established cell-line/model, but separate studies and culture/assay metadata do not establish the same physical aliquot (source: breast cancer cell line | breast cancer cell line; contact countries: USA | Netherlands).</x:v>
      </x:c>
      <x:c r="W30" s="26" t="str">
        <x:v>https://www.ncbi.nlm.nih.gov/geo/query/acc.cgi?acc=GSM4629443&amp;targ=self&amp;form=text&amp;view=full; https://www.ncbi.nlm.nih.gov/geo/query/acc.cgi?acc=GSM421886&amp;targ=self&amp;form=text&amp;view=full; https://www.ncbi.nlm.nih.gov/geo/query/acc.cgi?acc=GSE152908; https://www.ncbi.nlm.nih.gov/geo/query/acc.cgi?acc=GSE16795</x:v>
      </x:c>
      <x:c r="X30" s="27" t="str">
        <x:v>2026-09-27</x:v>
      </x:c>
      <x:c r="Y30" s="26" t="str">
        <x:v>Naol Beyene</x:v>
      </x:c>
      <x:c r="Z30" s="32" t="str">
        <x:v>Verified</x:v>
      </x:c>
      <x:c r="AA30" s="32" t="str">
        <x:v>Author manually verified the classification and cited evidence.</x:v>
      </x:c>
    </x:row>
    <x:row r="31" ht="42" customHeight="1">
      <x:c r="A31" s="22" t="str">
        <x:v>t142</x:v>
      </x:c>
      <x:c r="B31" s="22" t="str">
        <x:v>GSE234171</x:v>
      </x:c>
      <x:c r="C31" s="22" t="str">
        <x:v>GSM7451137</x:v>
      </x:c>
      <x:c r="D31" s="22" t="str">
        <x:v>T14.2</x:v>
      </x:c>
      <x:c r="E31" s="22" t="str">
        <x:v>GSE81540</x:v>
      </x:c>
      <x:c r="F31" s="22" t="str">
        <x:v>GSM2155699</x:v>
      </x:c>
      <x:c r="G31" s="22" t="str">
        <x:v>T142</x:v>
      </x:c>
      <x:c r="H31" s="22" t="str">
        <x:v>False</x:v>
      </x:c>
      <x:c r="I31" s="22" t="str">
        <x:v>False</x:v>
      </x:c>
      <x:c r="J31" s="22" t="str">
        <x:v>False</x:v>
      </x:c>
      <x:c r="K31" s="22" t="str">
        <x:v>False</x:v>
      </x:c>
      <x:c r="L31" s="22" t="str">
        <x:v>Long-term multi-modal recording reveals epigenetic adaptation routes in dormant breast cancer cells [RNA-Seq]</x:v>
      </x:c>
      <x:c r="M31" s="22" t="str">
        <x:v>Clinical Value of RNA Sequencing–Based Classifiers for Prediction of the Five Conventional Breast Cancer Biomarkers: A Report From the Population-Based Multicenter Sweden Cancerome Analysis Network—Breast Initiative [superseries]</x:v>
      </x:c>
      <x:c r="N31" s="22" t="str">
        <x:v>https://www.ncbi.nlm.nih.gov/geo/query/acc.cgi?acc=GSE234171</x:v>
      </x:c>
      <x:c r="O31" s="22" t="str">
        <x:v>https://www.ncbi.nlm.nih.gov/geo/query/acc.cgi?acc=GSE81540</x:v>
      </x:c>
      <x:c r="P31" s="22" t="str"/>
      <x:c r="Q31" s="22" t="str"/>
      <x:c r="R31" s="22" t="str">
        <x:v>OpenAI Codex structured public-record review</x:v>
      </x:c>
      <x:c r="S31" s="22" t="str">
        <x:v>30</x:v>
      </x:c>
      <x:c r="T31" s="26" t="str">
        <x:v>evidence against identity</x:v>
      </x:c>
      <x:c r="U31" s="26" t="str">
        <x:v>False</x:v>
      </x:c>
      <x:c r="V31" s="26" t="str">
        <x:v>Matching short/local title conflicts with study or specimen metadata (source: MCF7 cell line | Primary breast tumor; contact countries: United Kingdom | Sweden); no shared publication or BioProject establishes identity.</x:v>
      </x:c>
      <x:c r="W31" s="26" t="str">
        <x:v>https://www.ncbi.nlm.nih.gov/geo/query/acc.cgi?acc=GSM7451137&amp;targ=self&amp;form=text&amp;view=full; https://www.ncbi.nlm.nih.gov/geo/query/acc.cgi?acc=GSM2155699&amp;targ=self&amp;form=text&amp;view=full; https://www.ncbi.nlm.nih.gov/geo/query/acc.cgi?acc=GSE234171; https://www.ncbi.nlm.nih.gov/geo/query/acc.cgi?acc=GSE81540</x:v>
      </x:c>
      <x:c r="X31" s="27" t="str">
        <x:v>2026-09-27</x:v>
      </x:c>
      <x:c r="Y31" s="26" t="str">
        <x:v>Naol Beyene</x:v>
      </x:c>
      <x:c r="Z31" s="32" t="str">
        <x:v>Verified</x:v>
      </x:c>
      <x:c r="AA31" s="32" t="str">
        <x:v>Author manually verified the classification and cited evidence.</x:v>
      </x:c>
    </x:row>
    <x:row r="32" ht="42" customHeight="1">
      <x:c r="A32" s="22" t="str">
        <x:v>bt20</x:v>
      </x:c>
      <x:c r="B32" s="22" t="str">
        <x:v>GSE212143</x:v>
      </x:c>
      <x:c r="C32" s="22" t="str">
        <x:v>GSM6510135</x:v>
      </x:c>
      <x:c r="D32" s="22" t="str">
        <x:v>BT20</x:v>
      </x:c>
      <x:c r="E32" s="22" t="str">
        <x:v>GSE73526</x:v>
      </x:c>
      <x:c r="F32" s="22" t="str">
        <x:v>GSM1897279</x:v>
      </x:c>
      <x:c r="G32" s="22" t="str">
        <x:v>BT20</x:v>
      </x:c>
      <x:c r="H32" s="22" t="str">
        <x:v>False</x:v>
      </x:c>
      <x:c r="I32" s="22" t="str">
        <x:v>False</x:v>
      </x:c>
      <x:c r="J32" s="22" t="str">
        <x:v>False</x:v>
      </x:c>
      <x:c r="K32" s="22" t="str">
        <x:v>False</x:v>
      </x:c>
      <x:c r="L32" s="22" t="str">
        <x:v>Transcriptome analysis of 15 different breast cancer cell lines</x:v>
      </x:c>
      <x:c r="M32" s="22" t="str">
        <x:v>The Functional Genomic Landscape of Human Breast Cancer Drivers, Vulnerabilities, and Resistance (RNASeq)</x:v>
      </x:c>
      <x:c r="N32" s="22" t="str">
        <x:v>https://www.ncbi.nlm.nih.gov/geo/query/acc.cgi?acc=GSE212143</x:v>
      </x:c>
      <x:c r="O32" s="22" t="str">
        <x:v>https://www.ncbi.nlm.nih.gov/geo/query/acc.cgi?acc=GSE73526</x:v>
      </x:c>
      <x:c r="P32" s="22" t="str"/>
      <x:c r="Q32" s="22" t="str"/>
      <x:c r="R32" s="22" t="str">
        <x:v>OpenAI Codex structured public-record review</x:v>
      </x:c>
      <x:c r="S32" s="22" t="str">
        <x:v>31</x:v>
      </x:c>
      <x:c r="T32" s="26" t="str">
        <x:v>related study/model but identity not established</x:v>
      </x:c>
      <x:c r="U32" s="26" t="str">
        <x:v>False</x:v>
      </x:c>
      <x:c r="V32" s="26" t="str">
        <x:v>The records name the same established cell-line/model, but separate studies and culture/assay metadata do not establish the same physical aliquot (source: breast cancer cells | breast cancer cell line; contact countries: USA | Canada).</x:v>
      </x:c>
      <x:c r="W32" s="26" t="str">
        <x:v>https://www.ncbi.nlm.nih.gov/geo/query/acc.cgi?acc=GSM6510135&amp;targ=self&amp;form=text&amp;view=full; https://www.ncbi.nlm.nih.gov/geo/query/acc.cgi?acc=GSM1897279&amp;targ=self&amp;form=text&amp;view=full; https://www.ncbi.nlm.nih.gov/geo/query/acc.cgi?acc=GSE212143; https://www.ncbi.nlm.nih.gov/geo/query/acc.cgi?acc=GSE73526</x:v>
      </x:c>
      <x:c r="X32" s="27" t="str">
        <x:v>2026-09-27</x:v>
      </x:c>
      <x:c r="Y32" s="26" t="str">
        <x:v>Naol Beyene</x:v>
      </x:c>
      <x:c r="Z32" s="32" t="str">
        <x:v>Verified</x:v>
      </x:c>
      <x:c r="AA32" s="32" t="str">
        <x:v>Author manually verified the classification and cited evidence.</x:v>
      </x:c>
    </x:row>
    <x:row r="33" ht="42" customHeight="1">
      <x:c r="A33" s="22" t="str">
        <x:v>breastcancer78cancer2</x:v>
      </x:c>
      <x:c r="B33" s="22" t="str">
        <x:v>GSE146558</x:v>
      </x:c>
      <x:c r="C33" s="22" t="str">
        <x:v>GSM4392900</x:v>
      </x:c>
      <x:c r="D33" s="22" t="str">
        <x:v>Breast cancer_78 cancer2</x:v>
      </x:c>
      <x:c r="E33" s="22" t="str">
        <x:v>GSE48390</x:v>
      </x:c>
      <x:c r="F33" s="22" t="str">
        <x:v>GSM1176909</x:v>
      </x:c>
      <x:c r="G33" s="22" t="str">
        <x:v>Breast cancer_78 cancer2</x:v>
      </x:c>
      <x:c r="H33" s="22" t="str">
        <x:v>True</x:v>
      </x:c>
      <x:c r="I33" s="22" t="str">
        <x:v>False</x:v>
      </x:c>
      <x:c r="J33" s="22" t="str">
        <x:v>False</x:v>
      </x:c>
      <x:c r="K33" s="22" t="str">
        <x:v>True</x:v>
      </x:c>
      <x:c r="L33" s="22" t="str">
        <x:v>Gene Expression Signature of Microcalcification among Taiwanese Breast Cancer</x:v>
      </x:c>
      <x:c r="M33" s="22" t="str">
        <x:v>Concurrent Gene Signatures for Han Chinese Breast Cancers [Affymetrix]</x:v>
      </x:c>
      <x:c r="N33" s="22" t="str">
        <x:v>https://www.ncbi.nlm.nih.gov/geo/query/acc.cgi?acc=GSE146558</x:v>
      </x:c>
      <x:c r="O33" s="22" t="str">
        <x:v>https://www.ncbi.nlm.nih.gov/geo/query/acc.cgi?acc=GSE48390</x:v>
      </x:c>
      <x:c r="P33" s="22" t="str"/>
      <x:c r="Q33" s="22" t="str"/>
      <x:c r="R33" s="22" t="str">
        <x:v>OpenAI Codex structured public-record review</x:v>
      </x:c>
      <x:c r="S33" s="22" t="str">
        <x:v>32</x:v>
      </x:c>
      <x:c r="T33" s="26" t="str">
        <x:v>confirmed same patient/sample/material</x:v>
      </x:c>
      <x:c r="U33" s="26" t="str">
        <x:v>True</x:v>
      </x:c>
      <x:c r="V33" s="26" t="str">
        <x:v>Shared publication 34387660; unique tumor title and clinical attributes align in Taiwanese breast-tumor records.</x:v>
      </x:c>
      <x:c r="W33" s="26" t="str">
        <x:v>https://www.ncbi.nlm.nih.gov/geo/query/acc.cgi?acc=GSM4392900&amp;targ=self&amp;form=text&amp;view=full; https://www.ncbi.nlm.nih.gov/geo/query/acc.cgi?acc=GSM1176909&amp;targ=self&amp;form=text&amp;view=full; https://www.ncbi.nlm.nih.gov/geo/query/acc.cgi?acc=GSE146558; https://www.ncbi.nlm.nih.gov/geo/query/acc.cgi?acc=GSE48390; https://pubmed.ncbi.nlm.nih.gov/34387660/</x:v>
      </x:c>
      <x:c r="X33" s="27" t="str">
        <x:v>2026-09-27</x:v>
      </x:c>
      <x:c r="Y33" s="26" t="str">
        <x:v>Naol Beyene</x:v>
      </x:c>
      <x:c r="Z33" s="32" t="str">
        <x:v>Verified</x:v>
      </x:c>
      <x:c r="AA33" s="32" t="str">
        <x:v>Author manually verified the classification and cited evidence.</x:v>
      </x:c>
    </x:row>
    <x:row r="34" ht="42" customHeight="1">
      <x:c r="A34" s="22" t="str">
        <x:v>zr7530</x:v>
      </x:c>
      <x:c r="B34" s="22" t="str">
        <x:v>GSE16795</x:v>
      </x:c>
      <x:c r="C34" s="22" t="str">
        <x:v>GSM421898</x:v>
      </x:c>
      <x:c r="D34" s="22" t="str">
        <x:v>ZR-75-30</x:v>
      </x:c>
      <x:c r="E34" s="22" t="str">
        <x:v>GSE21217</x:v>
      </x:c>
      <x:c r="F34" s="22" t="str">
        <x:v>GSM530555</x:v>
      </x:c>
      <x:c r="G34" s="22" t="str">
        <x:v>ZR7530</x:v>
      </x:c>
      <x:c r="H34" s="22" t="str">
        <x:v>False</x:v>
      </x:c>
      <x:c r="I34" s="22" t="str">
        <x:v>False</x:v>
      </x:c>
      <x:c r="J34" s="22" t="str">
        <x:v>False</x:v>
      </x:c>
      <x:c r="K34" s="22" t="str">
        <x:v>False</x:v>
      </x:c>
      <x:c r="L34" s="22" t="str">
        <x:v>Affymetrix HG-U133A gene expression profiles of 39 human breast cancer cell lines</x:v>
      </x:c>
      <x:c r="M34" s="22" t="str">
        <x:v>18F-fluorodeoxy-glucose positron emission tomography marks MYC-overexpressing human basal-like breast cancers.</x:v>
      </x:c>
      <x:c r="N34" s="22" t="str">
        <x:v>https://www.ncbi.nlm.nih.gov/geo/query/acc.cgi?acc=GSE16795</x:v>
      </x:c>
      <x:c r="O34" s="22" t="str">
        <x:v>https://www.ncbi.nlm.nih.gov/geo/query/acc.cgi?acc=GSE21217</x:v>
      </x:c>
      <x:c r="P34" s="22" t="str"/>
      <x:c r="Q34" s="22" t="str"/>
      <x:c r="R34" s="22" t="str">
        <x:v>OpenAI Codex structured public-record review</x:v>
      </x:c>
      <x:c r="S34" s="22" t="str">
        <x:v>33</x:v>
      </x:c>
      <x:c r="T34" s="26" t="str">
        <x:v>related study/model but identity not established</x:v>
      </x:c>
      <x:c r="U34" s="26" t="str">
        <x:v>False</x:v>
      </x:c>
      <x:c r="V34" s="26" t="str">
        <x:v>The records name the same established cell-line/model, but separate studies and culture/assay metadata do not establish the same physical aliquot (source: breast cancer cell line | ATCC; contact countries: Netherlands | USA).</x:v>
      </x:c>
      <x:c r="W34" s="26" t="str">
        <x:v>https://www.ncbi.nlm.nih.gov/geo/query/acc.cgi?acc=GSM421898&amp;targ=self&amp;form=text&amp;view=full; https://www.ncbi.nlm.nih.gov/geo/query/acc.cgi?acc=GSM530555&amp;targ=self&amp;form=text&amp;view=full; https://www.ncbi.nlm.nih.gov/geo/query/acc.cgi?acc=GSE16795; https://www.ncbi.nlm.nih.gov/geo/query/acc.cgi?acc=GSE21217</x:v>
      </x:c>
      <x:c r="X34" s="27" t="str">
        <x:v>2026-09-27</x:v>
      </x:c>
      <x:c r="Y34" s="26" t="str">
        <x:v>Naol Beyene</x:v>
      </x:c>
      <x:c r="Z34" s="32" t="str">
        <x:v>Verified</x:v>
      </x:c>
      <x:c r="AA34" s="32" t="str">
        <x:v>Author manually verified the classification and cited evidence.</x:v>
      </x:c>
    </x:row>
    <x:row r="35" ht="42" customHeight="1">
      <x:c r="A35" s="22" t="str">
        <x:v>ffpex211663571x85x255nhsiiplate3</x:v>
      </x:c>
      <x:c r="B35" s="22" t="str">
        <x:v>GSE115577</x:v>
      </x:c>
      <x:c r="C35" s="22" t="str">
        <x:v>GSM3183663</x:v>
      </x:c>
      <x:c r="D35" s="22" t="str">
        <x:v>FFPE X211663571 [X85_X.255_NHSIIplate3]</x:v>
      </x:c>
      <x:c r="E35" s="22" t="str">
        <x:v>GSE93601</x:v>
      </x:c>
      <x:c r="F35" s="22" t="str">
        <x:v>GSM2458420</x:v>
      </x:c>
      <x:c r="G35" s="22" t="str">
        <x:v>FFPE_X211663571 [X85_X.255_NHSIIplate3]</x:v>
      </x:c>
      <x:c r="H35" s="22" t="str">
        <x:v>False</x:v>
      </x:c>
      <x:c r="I35" s="22" t="str">
        <x:v>False</x:v>
      </x:c>
      <x:c r="J35" s="22" t="str">
        <x:v>False</x:v>
      </x:c>
      <x:c r="K35" s="22" t="str">
        <x:v>False</x:v>
      </x:c>
      <x:c r="L35" s="22" t="str">
        <x:v>Tumor &amp; Tumor-Adj Gene Expression in the Nurses' Health Study Cohorts</x:v>
      </x:c>
      <x:c r="M35" s="22" t="str">
        <x:v>Alcohol Consumption and Breast Tumor Gene Expression</x:v>
      </x:c>
      <x:c r="N35" s="22" t="str">
        <x:v>https://www.ncbi.nlm.nih.gov/geo/query/acc.cgi?acc=GSE115577</x:v>
      </x:c>
      <x:c r="O35" s="22" t="str">
        <x:v>https://www.ncbi.nlm.nih.gov/geo/query/acc.cgi?acc=GSE93601</x:v>
      </x:c>
      <x:c r="P35" s="22" t="str"/>
      <x:c r="Q35" s="22" t="str"/>
      <x:c r="R35" s="22" t="str">
        <x:v>OpenAI Codex structured public-record review</x:v>
      </x:c>
      <x:c r="S35" s="22" t="str">
        <x:v>34</x:v>
      </x:c>
      <x:c r="T35" s="26" t="str">
        <x:v>confirmed same patient/sample/material</x:v>
      </x:c>
      <x:c r="U35" s="26" t="str">
        <x:v>True</x:v>
      </x:c>
      <x:c r="V35" s="26" t="str">
        <x:v>Unique NHS patient/material identifier and plate label recur; tissue, age/year, cohort, and assay metadata align across the NHS reanalysis and original tumor study.</x:v>
      </x:c>
      <x:c r="W35" s="26" t="str">
        <x:v>https://www.ncbi.nlm.nih.gov/geo/query/acc.cgi?acc=GSM3183663&amp;targ=self&amp;form=text&amp;view=full; https://www.ncbi.nlm.nih.gov/geo/query/acc.cgi?acc=GSM2458420&amp;targ=self&amp;form=text&amp;view=full; https://www.ncbi.nlm.nih.gov/geo/query/acc.cgi?acc=GSE115577; https://www.ncbi.nlm.nih.gov/geo/query/acc.cgi?acc=GSE93601</x:v>
      </x:c>
      <x:c r="X35" s="27" t="str">
        <x:v>2026-09-27</x:v>
      </x:c>
      <x:c r="Y35" s="26" t="str">
        <x:v>Naol Beyene</x:v>
      </x:c>
      <x:c r="Z35" s="32" t="str">
        <x:v>Verified</x:v>
      </x:c>
      <x:c r="AA35" s="32" t="str">
        <x:v>Author manually verified the classification and cited evidence.</x:v>
      </x:c>
    </x:row>
    <x:row r="36" ht="42" customHeight="1">
      <x:c r="A36" s="22" t="str">
        <x:v>mdamb468</x:v>
      </x:c>
      <x:c r="B36" s="22" t="str">
        <x:v>GSE58135</x:v>
      </x:c>
      <x:c r="C36" s="22" t="str">
        <x:v>GSM1401650</x:v>
      </x:c>
      <x:c r="D36" s="22" t="str">
        <x:v>MDA-MB-468</x:v>
      </x:c>
      <x:c r="E36" s="22" t="str">
        <x:v>GSE87008</x:v>
      </x:c>
      <x:c r="F36" s="22" t="str">
        <x:v>GSM2318771</x:v>
      </x:c>
      <x:c r="G36" s="22" t="str">
        <x:v>MDAMB468</x:v>
      </x:c>
      <x:c r="H36" s="22" t="str">
        <x:v>False</x:v>
      </x:c>
      <x:c r="I36" s="22" t="str">
        <x:v>False</x:v>
      </x:c>
      <x:c r="J36" s="22" t="str">
        <x:v>False</x:v>
      </x:c>
      <x:c r="K36" s="22" t="str">
        <x:v>False</x:v>
      </x:c>
      <x:c r="L36" s="22" t="str">
        <x:v>Breast Cancer RNA-seq</x:v>
      </x:c>
      <x:c r="M36" s="22" t="str">
        <x:v>CDK4 phosphorylation status and a linked gene expression profile predict sensitivity to Palbociclib</x:v>
      </x:c>
      <x:c r="N36" s="22" t="str">
        <x:v>https://www.ncbi.nlm.nih.gov/geo/query/acc.cgi?acc=GSE58135</x:v>
      </x:c>
      <x:c r="O36" s="22" t="str">
        <x:v>https://www.ncbi.nlm.nih.gov/geo/query/acc.cgi?acc=GSE87008</x:v>
      </x:c>
      <x:c r="P36" s="22" t="str"/>
      <x:c r="Q36" s="22" t="str"/>
      <x:c r="R36" s="22" t="str">
        <x:v>OpenAI Codex structured public-record review</x:v>
      </x:c>
      <x:c r="S36" s="22" t="str">
        <x:v>35</x:v>
      </x:c>
      <x:c r="T36" s="26" t="str">
        <x:v>related study/model but identity not established</x:v>
      </x:c>
      <x:c r="U36" s="26" t="str">
        <x:v>False</x:v>
      </x:c>
      <x:c r="V36" s="26" t="str">
        <x:v>The records name the same established cell-line/model, but separate studies and culture/assay metadata do not establish the same physical aliquot (source: Breast Cancer Cell Line | ATCC; contact countries: USA | Belgium).</x:v>
      </x:c>
      <x:c r="W36" s="26" t="str">
        <x:v>https://www.ncbi.nlm.nih.gov/geo/query/acc.cgi?acc=GSM1401650&amp;targ=self&amp;form=text&amp;view=full; https://www.ncbi.nlm.nih.gov/geo/query/acc.cgi?acc=GSM2318771&amp;targ=self&amp;form=text&amp;view=full; https://www.ncbi.nlm.nih.gov/geo/query/acc.cgi?acc=GSE58135; https://www.ncbi.nlm.nih.gov/geo/query/acc.cgi?acc=GSE87008</x:v>
      </x:c>
      <x:c r="X36" s="27" t="str">
        <x:v>2026-09-27</x:v>
      </x:c>
      <x:c r="Y36" s="26" t="str">
        <x:v>Naol Beyene</x:v>
      </x:c>
      <x:c r="Z36" s="32" t="str">
        <x:v>Verified</x:v>
      </x:c>
      <x:c r="AA36" s="32" t="str">
        <x:v>Author manually verified the classification and cited evidence.</x:v>
      </x:c>
    </x:row>
    <x:row r="37" ht="42" customHeight="1">
      <x:c r="A37" s="22" t="str">
        <x:v>t121</x:v>
      </x:c>
      <x:c r="B37" s="22" t="str">
        <x:v>GSE23720</x:v>
      </x:c>
      <x:c r="C37" s="22" t="str">
        <x:v>GSM585420</x:v>
      </x:c>
      <x:c r="D37" s="22" t="str">
        <x:v>T121</x:v>
      </x:c>
      <x:c r="E37" s="22" t="str">
        <x:v>GSE81540</x:v>
      </x:c>
      <x:c r="F37" s="22" t="str">
        <x:v>GSM2155678</x:v>
      </x:c>
      <x:c r="G37" s="22" t="str">
        <x:v>T121</x:v>
      </x:c>
      <x:c r="H37" s="22" t="str">
        <x:v>False</x:v>
      </x:c>
      <x:c r="I37" s="22" t="str">
        <x:v>False</x:v>
      </x:c>
      <x:c r="J37" s="22" t="str">
        <x:v>False</x:v>
      </x:c>
      <x:c r="K37" s="22" t="str">
        <x:v>False</x:v>
      </x:c>
      <x:c r="L37" s="22" t="str">
        <x:v>High-resolution comparative genomic hybridization of inflammatory breast cancer and identification of candidate genes</x:v>
      </x:c>
      <x:c r="M37" s="22" t="str">
        <x:v>Clinical Value of RNA Sequencing–Based Classifiers for Prediction of the Five Conventional Breast Cancer Biomarkers: A Report From the Population-Based Multicenter Sweden Cancerome Analysis Network—Breast Initiative [superseries]</x:v>
      </x:c>
      <x:c r="N37" s="22" t="str">
        <x:v>https://www.ncbi.nlm.nih.gov/geo/query/acc.cgi?acc=GSE23720</x:v>
      </x:c>
      <x:c r="O37" s="22" t="str">
        <x:v>https://www.ncbi.nlm.nih.gov/geo/query/acc.cgi?acc=GSE81540</x:v>
      </x:c>
      <x:c r="P37" s="22" t="str"/>
      <x:c r="Q37" s="22" t="str"/>
      <x:c r="R37" s="22" t="str">
        <x:v>OpenAI Codex structured public-record review</x:v>
      </x:c>
      <x:c r="S37" s="22" t="str">
        <x:v>36</x:v>
      </x:c>
      <x:c r="T37" s="26" t="str">
        <x:v>evidence against identity</x:v>
      </x:c>
      <x:c r="U37" s="26" t="str">
        <x:v>False</x:v>
      </x:c>
      <x:c r="V37" s="26" t="str">
        <x:v>Matching short/local title conflicts with study or specimen metadata (source: human breast cancer tumors | Primary breast tumor; contact countries: France | Sweden); no shared publication or BioProject establishes identity.</x:v>
      </x:c>
      <x:c r="W37" s="26" t="str">
        <x:v>https://www.ncbi.nlm.nih.gov/geo/query/acc.cgi?acc=GSM585420&amp;targ=self&amp;form=text&amp;view=full; https://www.ncbi.nlm.nih.gov/geo/query/acc.cgi?acc=GSM2155678&amp;targ=self&amp;form=text&amp;view=full; https://www.ncbi.nlm.nih.gov/geo/query/acc.cgi?acc=GSE23720; https://www.ncbi.nlm.nih.gov/geo/query/acc.cgi?acc=GSE81540</x:v>
      </x:c>
      <x:c r="X37" s="27" t="str">
        <x:v>2026-09-27</x:v>
      </x:c>
      <x:c r="Y37" s="26" t="str">
        <x:v>Naol Beyene</x:v>
      </x:c>
      <x:c r="Z37" s="32" t="str">
        <x:v>Verified</x:v>
      </x:c>
      <x:c r="AA37" s="32" t="str">
        <x:v>Author manually verified the classification and cited evidence.</x:v>
      </x:c>
    </x:row>
    <x:row r="38" ht="42" customHeight="1">
      <x:c r="A38" s="22" t="str">
        <x:v>hcc70</x:v>
      </x:c>
      <x:c r="B38" s="22" t="str">
        <x:v>GSE58135</x:v>
      </x:c>
      <x:c r="C38" s="22" t="str">
        <x:v>GSM1401660</x:v>
      </x:c>
      <x:c r="D38" s="22" t="str">
        <x:v>HCC-70</x:v>
      </x:c>
      <x:c r="E38" s="22" t="str">
        <x:v>GSE73526</x:v>
      </x:c>
      <x:c r="F38" s="22" t="str">
        <x:v>GSM1897311</x:v>
      </x:c>
      <x:c r="G38" s="22" t="str">
        <x:v>HCC70</x:v>
      </x:c>
      <x:c r="H38" s="22" t="str">
        <x:v>False</x:v>
      </x:c>
      <x:c r="I38" s="22" t="str">
        <x:v>False</x:v>
      </x:c>
      <x:c r="J38" s="22" t="str">
        <x:v>False</x:v>
      </x:c>
      <x:c r="K38" s="22" t="str">
        <x:v>False</x:v>
      </x:c>
      <x:c r="L38" s="22" t="str">
        <x:v>Breast Cancer RNA-seq</x:v>
      </x:c>
      <x:c r="M38" s="22" t="str">
        <x:v>The Functional Genomic Landscape of Human Breast Cancer Drivers, Vulnerabilities, and Resistance (RNASeq)</x:v>
      </x:c>
      <x:c r="N38" s="22" t="str">
        <x:v>https://www.ncbi.nlm.nih.gov/geo/query/acc.cgi?acc=GSE58135</x:v>
      </x:c>
      <x:c r="O38" s="22" t="str">
        <x:v>https://www.ncbi.nlm.nih.gov/geo/query/acc.cgi?acc=GSE73526</x:v>
      </x:c>
      <x:c r="P38" s="22" t="str"/>
      <x:c r="Q38" s="22" t="str"/>
      <x:c r="R38" s="22" t="str">
        <x:v>OpenAI Codex structured public-record review</x:v>
      </x:c>
      <x:c r="S38" s="22" t="str">
        <x:v>37</x:v>
      </x:c>
      <x:c r="T38" s="26" t="str">
        <x:v>related study/model but identity not established</x:v>
      </x:c>
      <x:c r="U38" s="26" t="str">
        <x:v>False</x:v>
      </x:c>
      <x:c r="V38" s="26" t="str">
        <x:v>The records name the same established cell-line/model, but separate studies and culture/assay metadata do not establish the same physical aliquot (source: Breast Cancer Cell Line | breast cancer cell line; contact countries: USA | Canada).</x:v>
      </x:c>
      <x:c r="W38" s="26" t="str">
        <x:v>https://www.ncbi.nlm.nih.gov/geo/query/acc.cgi?acc=GSM1401660&amp;targ=self&amp;form=text&amp;view=full; https://www.ncbi.nlm.nih.gov/geo/query/acc.cgi?acc=GSM1897311&amp;targ=self&amp;form=text&amp;view=full; https://www.ncbi.nlm.nih.gov/geo/query/acc.cgi?acc=GSE58135; https://www.ncbi.nlm.nih.gov/geo/query/acc.cgi?acc=GSE73526</x:v>
      </x:c>
      <x:c r="X38" s="27" t="str">
        <x:v>2026-09-27</x:v>
      </x:c>
      <x:c r="Y38" s="26" t="str">
        <x:v>Naol Beyene</x:v>
      </x:c>
      <x:c r="Z38" s="32" t="str">
        <x:v>Verified</x:v>
      </x:c>
      <x:c r="AA38" s="32" t="str">
        <x:v>Author manually verified the classification and cited evidence.</x:v>
      </x:c>
    </x:row>
    <x:row r="39" ht="42" customHeight="1">
      <x:c r="A39" s="22" t="str">
        <x:v>ffpex117463633x30640</x:v>
      </x:c>
      <x:c r="B39" s="22" t="str">
        <x:v>GSE115577</x:v>
      </x:c>
      <x:c r="C39" s="22" t="str">
        <x:v>GSM3183243</x:v>
      </x:c>
      <x:c r="D39" s="22" t="str">
        <x:v>FFPE X117463633 [X30_640]</x:v>
      </x:c>
      <x:c r="E39" s="22" t="str">
        <x:v>GSE93601</x:v>
      </x:c>
      <x:c r="F39" s="22" t="str">
        <x:v>GSM2458047</x:v>
      </x:c>
      <x:c r="G39" s="22" t="str">
        <x:v>FFPE_X117463633 [X30_640]</x:v>
      </x:c>
      <x:c r="H39" s="22" t="str">
        <x:v>False</x:v>
      </x:c>
      <x:c r="I39" s="22" t="str">
        <x:v>False</x:v>
      </x:c>
      <x:c r="J39" s="22" t="str">
        <x:v>False</x:v>
      </x:c>
      <x:c r="K39" s="22" t="str">
        <x:v>False</x:v>
      </x:c>
      <x:c r="L39" s="22" t="str">
        <x:v>Tumor &amp; Tumor-Adj Gene Expression in the Nurses' Health Study Cohorts</x:v>
      </x:c>
      <x:c r="M39" s="22" t="str">
        <x:v>Alcohol Consumption and Breast Tumor Gene Expression</x:v>
      </x:c>
      <x:c r="N39" s="22" t="str">
        <x:v>https://www.ncbi.nlm.nih.gov/geo/query/acc.cgi?acc=GSE115577</x:v>
      </x:c>
      <x:c r="O39" s="22" t="str">
        <x:v>https://www.ncbi.nlm.nih.gov/geo/query/acc.cgi?acc=GSE93601</x:v>
      </x:c>
      <x:c r="P39" s="22" t="str"/>
      <x:c r="Q39" s="22" t="str"/>
      <x:c r="R39" s="22" t="str">
        <x:v>OpenAI Codex structured public-record review</x:v>
      </x:c>
      <x:c r="S39" s="22" t="str">
        <x:v>38</x:v>
      </x:c>
      <x:c r="T39" s="26" t="str">
        <x:v>confirmed same patient/sample/material</x:v>
      </x:c>
      <x:c r="U39" s="26" t="str">
        <x:v>True</x:v>
      </x:c>
      <x:c r="V39" s="26" t="str">
        <x:v>Unique NHS patient/material identifier and plate label recur; tissue, age/year, cohort, and assay metadata align across the NHS reanalysis and original tumor study.</x:v>
      </x:c>
      <x:c r="W39" s="26" t="str">
        <x:v>https://www.ncbi.nlm.nih.gov/geo/query/acc.cgi?acc=GSM3183243&amp;targ=self&amp;form=text&amp;view=full; https://www.ncbi.nlm.nih.gov/geo/query/acc.cgi?acc=GSM2458047&amp;targ=self&amp;form=text&amp;view=full; https://www.ncbi.nlm.nih.gov/geo/query/acc.cgi?acc=GSE115577; https://www.ncbi.nlm.nih.gov/geo/query/acc.cgi?acc=GSE93601</x:v>
      </x:c>
      <x:c r="X39" s="27" t="str">
        <x:v>2026-09-27</x:v>
      </x:c>
      <x:c r="Y39" s="26" t="str">
        <x:v>Naol Beyene</x:v>
      </x:c>
      <x:c r="Z39" s="32" t="str">
        <x:v>Verified</x:v>
      </x:c>
      <x:c r="AA39" s="32" t="str">
        <x:v>Author manually verified the classification and cited evidence.</x:v>
      </x:c>
    </x:row>
    <x:row r="40" ht="42" customHeight="1">
      <x:c r="A40" s="22" t="str">
        <x:v>hugm0045</x:v>
      </x:c>
      <x:c r="B40" s="22" t="str">
        <x:v>GSE181466</x:v>
      </x:c>
      <x:c r="C40" s="22" t="str">
        <x:v>GSM5502991</x:v>
      </x:c>
      <x:c r="D40" s="22" t="str">
        <x:v>HUGM-0045</x:v>
      </x:c>
      <x:c r="E40" s="22" t="str">
        <x:v>GSE181548</x:v>
      </x:c>
      <x:c r="F40" s="22" t="str">
        <x:v>GSM5505595</x:v>
      </x:c>
      <x:c r="G40" s="22" t="str">
        <x:v>HUGM-0045</x:v>
      </x:c>
      <x:c r="H40" s="22" t="str">
        <x:v>False</x:v>
      </x:c>
      <x:c r="I40" s="22" t="str">
        <x:v>False</x:v>
      </x:c>
      <x:c r="J40" s="22" t="str">
        <x:v>True</x:v>
      </x:c>
      <x:c r="K40" s="22" t="str">
        <x:v>True</x:v>
      </x:c>
      <x:c r="L40" s="22" t="str">
        <x:v>RNAseq of a Triple-Negative Breast Cancer Cohort Treated with Neoadjuvant Carboplatin and Docetaxel According to Lehmann's Refined Classification</x:v>
      </x:c>
      <x:c r="M40" s="22" t="str">
        <x:v>Pam50 of a Triple-Negative Breast Cancer Cohort Treated with Neoadjuvant Carboplatin and Docetaxel According to Lehmann's Refined Classification</x:v>
      </x:c>
      <x:c r="N40" s="22" t="str">
        <x:v>https://www.ncbi.nlm.nih.gov/geo/query/acc.cgi?acc=GSE181466</x:v>
      </x:c>
      <x:c r="O40" s="22" t="str">
        <x:v>https://www.ncbi.nlm.nih.gov/geo/query/acc.cgi?acc=GSE181548</x:v>
      </x:c>
      <x:c r="P40" s="22" t="str"/>
      <x:c r="Q40" s="22" t="str"/>
      <x:c r="R40" s="22" t="str">
        <x:v>OpenAI Codex structured public-record review</x:v>
      </x:c>
      <x:c r="S40" s="22" t="str">
        <x:v>39</x:v>
      </x:c>
      <x:c r="T40" s="26" t="str">
        <x:v>confirmed same patient/sample/material</x:v>
      </x:c>
      <x:c r="U40" s="26" t="str">
        <x:v>True</x:v>
      </x:c>
      <x:c r="V40" s="26" t="str">
        <x:v>Series summaries explicitly describe RNA-seq and PAM50 analysis of the same patients; unique HCSC/HUGM identifier and clinical attributes align.</x:v>
      </x:c>
      <x:c r="W40" s="26" t="str">
        <x:v>https://www.ncbi.nlm.nih.gov/geo/query/acc.cgi?acc=GSM5502991&amp;targ=self&amp;form=text&amp;view=full; https://www.ncbi.nlm.nih.gov/geo/query/acc.cgi?acc=GSM5505595&amp;targ=self&amp;form=text&amp;view=full; https://www.ncbi.nlm.nih.gov/geo/query/acc.cgi?acc=GSE181466; https://www.ncbi.nlm.nih.gov/geo/query/acc.cgi?acc=GSE181548</x:v>
      </x:c>
      <x:c r="X40" s="27" t="str">
        <x:v>2026-09-27</x:v>
      </x:c>
      <x:c r="Y40" s="26" t="str">
        <x:v>Naol Beyene</x:v>
      </x:c>
      <x:c r="Z40" s="32" t="str">
        <x:v>Verified</x:v>
      </x:c>
      <x:c r="AA40" s="32" t="str">
        <x:v>Author manually verified the classification and cited evidence.</x:v>
      </x:c>
    </x:row>
    <x:row r="41" ht="42" customHeight="1">
      <x:c r="A41" s="22" t="str">
        <x:v>t24</x:v>
      </x:c>
      <x:c r="B41" s="22" t="str">
        <x:v>GSE69240</x:v>
      </x:c>
      <x:c r="C41" s="22" t="str">
        <x:v>GSM1695896</x:v>
      </x:c>
      <x:c r="D41" s="22" t="str">
        <x:v>T24</x:v>
      </x:c>
      <x:c r="E41" s="22" t="str">
        <x:v>GSE81538</x:v>
      </x:c>
      <x:c r="F41" s="22" t="str">
        <x:v>GSM2155581</x:v>
      </x:c>
      <x:c r="G41" s="22" t="str">
        <x:v>T24</x:v>
      </x:c>
      <x:c r="H41" s="22" t="str">
        <x:v>False</x:v>
      </x:c>
      <x:c r="I41" s="22" t="str">
        <x:v>False</x:v>
      </x:c>
      <x:c r="J41" s="22" t="str">
        <x:v>False</x:v>
      </x:c>
      <x:c r="K41" s="22" t="str">
        <x:v>False</x:v>
      </x:c>
      <x:c r="L41" s="22" t="str">
        <x:v>A Molecular Portrait Of High-Grade Ductal Carcinoma In Situ (DCIS) [RNA-seq]</x:v>
      </x:c>
      <x:c r="M41" s="22" t="str">
        <x:v>Clinical Value of RNA Sequencing–Based Classifiers for Prediction of the Five Conventional Breast Cancer Biomarkers: A Report From the Population-Based Multicenter Sweden Cancerome Analysis Network—Breast Initiative [cohort 405]</x:v>
      </x:c>
      <x:c r="N41" s="22" t="str">
        <x:v>https://www.ncbi.nlm.nih.gov/geo/query/acc.cgi?acc=GSE69240</x:v>
      </x:c>
      <x:c r="O41" s="22" t="str">
        <x:v>https://www.ncbi.nlm.nih.gov/geo/query/acc.cgi?acc=GSE81538</x:v>
      </x:c>
      <x:c r="P41" s="22" t="str"/>
      <x:c r="Q41" s="22" t="str"/>
      <x:c r="R41" s="22" t="str">
        <x:v>OpenAI Codex structured public-record review</x:v>
      </x:c>
      <x:c r="S41" s="22" t="str">
        <x:v>40</x:v>
      </x:c>
      <x:c r="T41" s="26" t="str">
        <x:v>evidence against identity</x:v>
      </x:c>
      <x:c r="U41" s="26" t="str">
        <x:v>False</x:v>
      </x:c>
      <x:c r="V41" s="26" t="str">
        <x:v>Matching short/local title conflicts with study or specimen metadata (source: pure HG-DCIS | Primary breast tumor; contact countries: USA | Sweden); no shared publication or BioProject establishes identity.</x:v>
      </x:c>
      <x:c r="W41" s="26" t="str">
        <x:v>https://www.ncbi.nlm.nih.gov/geo/query/acc.cgi?acc=GSM1695896&amp;targ=self&amp;form=text&amp;view=full; https://www.ncbi.nlm.nih.gov/geo/query/acc.cgi?acc=GSM2155581&amp;targ=self&amp;form=text&amp;view=full; https://www.ncbi.nlm.nih.gov/geo/query/acc.cgi?acc=GSE69240; https://www.ncbi.nlm.nih.gov/geo/query/acc.cgi?acc=GSE81538</x:v>
      </x:c>
      <x:c r="X41" s="27" t="str">
        <x:v>2026-09-27</x:v>
      </x:c>
      <x:c r="Y41" s="26" t="str">
        <x:v>Naol Beyene</x:v>
      </x:c>
      <x:c r="Z41" s="32" t="str">
        <x:v>Verified</x:v>
      </x:c>
      <x:c r="AA41" s="32" t="str">
        <x:v>Author manually verified the classification and cited evidence.</x:v>
      </x:c>
    </x:row>
    <x:row r="42" ht="42" customHeight="1">
      <x:c r="A42" s="22" t="str">
        <x:v>ffpex120063200x52904plate9</x:v>
      </x:c>
      <x:c r="B42" s="22" t="str">
        <x:v>GSE115577</x:v>
      </x:c>
      <x:c r="C42" s="22" t="str">
        <x:v>GSM3183450</x:v>
      </x:c>
      <x:c r="D42" s="22" t="str">
        <x:v>FFPE X120063200 [X52_904_plate9]</x:v>
      </x:c>
      <x:c r="E42" s="22" t="str">
        <x:v>GSE93601</x:v>
      </x:c>
      <x:c r="F42" s="22" t="str">
        <x:v>GSM2457841</x:v>
      </x:c>
      <x:c r="G42" s="22" t="str">
        <x:v>FFPE_X120063200 [X52_904_plate9]</x:v>
      </x:c>
      <x:c r="H42" s="22" t="str">
        <x:v>False</x:v>
      </x:c>
      <x:c r="I42" s="22" t="str">
        <x:v>False</x:v>
      </x:c>
      <x:c r="J42" s="22" t="str">
        <x:v>False</x:v>
      </x:c>
      <x:c r="K42" s="22" t="str">
        <x:v>False</x:v>
      </x:c>
      <x:c r="L42" s="22" t="str">
        <x:v>Tumor &amp; Tumor-Adj Gene Expression in the Nurses' Health Study Cohorts</x:v>
      </x:c>
      <x:c r="M42" s="22" t="str">
        <x:v>Alcohol Consumption and Breast Tumor Gene Expression</x:v>
      </x:c>
      <x:c r="N42" s="22" t="str">
        <x:v>https://www.ncbi.nlm.nih.gov/geo/query/acc.cgi?acc=GSE115577</x:v>
      </x:c>
      <x:c r="O42" s="22" t="str">
        <x:v>https://www.ncbi.nlm.nih.gov/geo/query/acc.cgi?acc=GSE93601</x:v>
      </x:c>
      <x:c r="P42" s="22" t="str"/>
      <x:c r="Q42" s="22" t="str"/>
      <x:c r="R42" s="22" t="str">
        <x:v>OpenAI Codex structured public-record review</x:v>
      </x:c>
      <x:c r="S42" s="22" t="str">
        <x:v>41</x:v>
      </x:c>
      <x:c r="T42" s="26" t="str">
        <x:v>confirmed same patient/sample/material</x:v>
      </x:c>
      <x:c r="U42" s="26" t="str">
        <x:v>True</x:v>
      </x:c>
      <x:c r="V42" s="26" t="str">
        <x:v>Unique NHS patient/material identifier and plate label recur; tissue, age/year, cohort, and assay metadata align across the NHS reanalysis and original tumor study.</x:v>
      </x:c>
      <x:c r="W42" s="26" t="str">
        <x:v>https://www.ncbi.nlm.nih.gov/geo/query/acc.cgi?acc=GSM3183450&amp;targ=self&amp;form=text&amp;view=full; https://www.ncbi.nlm.nih.gov/geo/query/acc.cgi?acc=GSM2457841&amp;targ=self&amp;form=text&amp;view=full; https://www.ncbi.nlm.nih.gov/geo/query/acc.cgi?acc=GSE115577; https://www.ncbi.nlm.nih.gov/geo/query/acc.cgi?acc=GSE93601</x:v>
      </x:c>
      <x:c r="X42" s="27" t="str">
        <x:v>2026-09-27</x:v>
      </x:c>
      <x:c r="Y42" s="26" t="str">
        <x:v>Naol Beyene</x:v>
      </x:c>
      <x:c r="Z42" s="32" t="str">
        <x:v>Verified</x:v>
      </x:c>
      <x:c r="AA42" s="32" t="str">
        <x:v>Author manually verified the classification and cited evidence.</x:v>
      </x:c>
    </x:row>
    <x:row r="43" ht="42" customHeight="1">
      <x:c r="A43" s="22" t="str">
        <x:v>tnbc58</x:v>
      </x:c>
      <x:c r="B43" s="22" t="str">
        <x:v>GSE167213</x:v>
      </x:c>
      <x:c r="C43" s="22" t="str">
        <x:v>GSM5099661</x:v>
      </x:c>
      <x:c r="D43" s="22" t="str">
        <x:v>TNBC_58</x:v>
      </x:c>
      <x:c r="E43" s="22" t="str">
        <x:v>GSE190275</x:v>
      </x:c>
      <x:c r="F43" s="22" t="str">
        <x:v>GSM5719060</x:v>
      </x:c>
      <x:c r="G43" s="22" t="str">
        <x:v>TNBC_58</x:v>
      </x:c>
      <x:c r="H43" s="22" t="str">
        <x:v>False</x:v>
      </x:c>
      <x:c r="I43" s="22" t="str">
        <x:v>False</x:v>
      </x:c>
      <x:c r="J43" s="22" t="str">
        <x:v>False</x:v>
      </x:c>
      <x:c r="K43" s="22" t="str">
        <x:v>False</x:v>
      </x:c>
      <x:c r="L43" s="22" t="str">
        <x:v>Identifying High-Risk Triple-Negative Breast Cancer Patients by Molecular Subtyping</x:v>
      </x:c>
      <x:c r="M43" s="22" t="str">
        <x:v>TP53 signature predicts survival outcome in triple-negative breast cancer with neoadjuvant chemotherapy</x:v>
      </x:c>
      <x:c r="N43" s="22" t="str">
        <x:v>https://www.ncbi.nlm.nih.gov/geo/query/acc.cgi?acc=GSE167213</x:v>
      </x:c>
      <x:c r="O43" s="22" t="str">
        <x:v>https://www.ncbi.nlm.nih.gov/geo/query/acc.cgi?acc=GSE190275</x:v>
      </x:c>
      <x:c r="P43" s="22" t="str"/>
      <x:c r="Q43" s="22" t="str"/>
      <x:c r="R43" s="22" t="str">
        <x:v>OpenAI Codex structured public-record review</x:v>
      </x:c>
      <x:c r="S43" s="22" t="str">
        <x:v>42</x:v>
      </x:c>
      <x:c r="T43" s="26" t="str">
        <x:v>evidence against identity</x:v>
      </x:c>
      <x:c r="U43" s="26" t="str">
        <x:v>False</x:v>
      </x:c>
      <x:c r="V43" s="26" t="str">
        <x:v>Matching short/local title conflicts with study or specimen metadata (source: breast cancer | primary breast cancer; contact countries: Germany | Japan); no shared publication or BioProject establishes identity.</x:v>
      </x:c>
      <x:c r="W43" s="26" t="str">
        <x:v>https://www.ncbi.nlm.nih.gov/geo/query/acc.cgi?acc=GSM5099661&amp;targ=self&amp;form=text&amp;view=full; https://www.ncbi.nlm.nih.gov/geo/query/acc.cgi?acc=GSM5719060&amp;targ=self&amp;form=text&amp;view=full; https://www.ncbi.nlm.nih.gov/geo/query/acc.cgi?acc=GSE167213; https://www.ncbi.nlm.nih.gov/geo/query/acc.cgi?acc=GSE190275</x:v>
      </x:c>
      <x:c r="X43" s="27" t="str">
        <x:v>2026-09-27</x:v>
      </x:c>
      <x:c r="Y43" s="26" t="str">
        <x:v>Naol Beyene</x:v>
      </x:c>
      <x:c r="Z43" s="32" t="str">
        <x:v>Verified</x:v>
      </x:c>
      <x:c r="AA43" s="32" t="str">
        <x:v>Author manually verified the classification and cited evidence.</x:v>
      </x:c>
    </x:row>
    <x:row r="44" ht="42" customHeight="1">
      <x:c r="A44" s="22" t="str">
        <x:v>ffpex215666026x71x418nhsiiplate5</x:v>
      </x:c>
      <x:c r="B44" s="22" t="str">
        <x:v>GSE115577</x:v>
      </x:c>
      <x:c r="C44" s="22" t="str">
        <x:v>GSM3183824</x:v>
      </x:c>
      <x:c r="D44" s="22" t="str">
        <x:v>FFPE X215666026 [X71_X.418_NHSIIplate5]</x:v>
      </x:c>
      <x:c r="E44" s="22" t="str">
        <x:v>GSE93601</x:v>
      </x:c>
      <x:c r="F44" s="22" t="str">
        <x:v>GSM2458230</x:v>
      </x:c>
      <x:c r="G44" s="22" t="str">
        <x:v>FFPE_X215666026 [X71_X.418_NHSIIplate5]</x:v>
      </x:c>
      <x:c r="H44" s="22" t="str">
        <x:v>False</x:v>
      </x:c>
      <x:c r="I44" s="22" t="str">
        <x:v>False</x:v>
      </x:c>
      <x:c r="J44" s="22" t="str">
        <x:v>False</x:v>
      </x:c>
      <x:c r="K44" s="22" t="str">
        <x:v>False</x:v>
      </x:c>
      <x:c r="L44" s="22" t="str">
        <x:v>Tumor &amp; Tumor-Adj Gene Expression in the Nurses' Health Study Cohorts</x:v>
      </x:c>
      <x:c r="M44" s="22" t="str">
        <x:v>Alcohol Consumption and Breast Tumor Gene Expression</x:v>
      </x:c>
      <x:c r="N44" s="22" t="str">
        <x:v>https://www.ncbi.nlm.nih.gov/geo/query/acc.cgi?acc=GSE115577</x:v>
      </x:c>
      <x:c r="O44" s="22" t="str">
        <x:v>https://www.ncbi.nlm.nih.gov/geo/query/acc.cgi?acc=GSE93601</x:v>
      </x:c>
      <x:c r="P44" s="22" t="str"/>
      <x:c r="Q44" s="22" t="str"/>
      <x:c r="R44" s="22" t="str">
        <x:v>OpenAI Codex structured public-record review</x:v>
      </x:c>
      <x:c r="S44" s="22" t="str">
        <x:v>43</x:v>
      </x:c>
      <x:c r="T44" s="26" t="str">
        <x:v>confirmed same patient/sample/material</x:v>
      </x:c>
      <x:c r="U44" s="26" t="str">
        <x:v>True</x:v>
      </x:c>
      <x:c r="V44" s="26" t="str">
        <x:v>Unique NHS patient/material identifier and plate label recur; tissue, age/year, cohort, and assay metadata align across the NHS reanalysis and original tumor study.</x:v>
      </x:c>
      <x:c r="W44" s="26" t="str">
        <x:v>https://www.ncbi.nlm.nih.gov/geo/query/acc.cgi?acc=GSM3183824&amp;targ=self&amp;form=text&amp;view=full; https://www.ncbi.nlm.nih.gov/geo/query/acc.cgi?acc=GSM2458230&amp;targ=self&amp;form=text&amp;view=full; https://www.ncbi.nlm.nih.gov/geo/query/acc.cgi?acc=GSE115577; https://www.ncbi.nlm.nih.gov/geo/query/acc.cgi?acc=GSE93601</x:v>
      </x:c>
      <x:c r="X44" s="27" t="str">
        <x:v>2026-09-27</x:v>
      </x:c>
      <x:c r="Y44" s="26" t="str">
        <x:v>Naol Beyene</x:v>
      </x:c>
      <x:c r="Z44" s="32" t="str">
        <x:v>Verified</x:v>
      </x:c>
      <x:c r="AA44" s="32" t="str">
        <x:v>Author manually verified the classification and cited evidence.</x:v>
      </x:c>
    </x:row>
    <x:row r="45" ht="42" customHeight="1">
      <x:c r="A45" s="22" t="str">
        <x:v>ffpex111111568x52662</x:v>
      </x:c>
      <x:c r="B45" s="22" t="str">
        <x:v>GSE115577</x:v>
      </x:c>
      <x:c r="C45" s="22" t="str">
        <x:v>GSM3183264</x:v>
      </x:c>
      <x:c r="D45" s="22" t="str">
        <x:v>FFPE X111111568 [X52_662]</x:v>
      </x:c>
      <x:c r="E45" s="22" t="str">
        <x:v>GSE93601</x:v>
      </x:c>
      <x:c r="F45" s="22" t="str">
        <x:v>GSM2457906</x:v>
      </x:c>
      <x:c r="G45" s="22" t="str">
        <x:v>FFPE_X111111568 [X52_662]</x:v>
      </x:c>
      <x:c r="H45" s="22" t="str">
        <x:v>False</x:v>
      </x:c>
      <x:c r="I45" s="22" t="str">
        <x:v>False</x:v>
      </x:c>
      <x:c r="J45" s="22" t="str">
        <x:v>False</x:v>
      </x:c>
      <x:c r="K45" s="22" t="str">
        <x:v>False</x:v>
      </x:c>
      <x:c r="L45" s="22" t="str">
        <x:v>Tumor &amp; Tumor-Adj Gene Expression in the Nurses' Health Study Cohorts</x:v>
      </x:c>
      <x:c r="M45" s="22" t="str">
        <x:v>Alcohol Consumption and Breast Tumor Gene Expression</x:v>
      </x:c>
      <x:c r="N45" s="22" t="str">
        <x:v>https://www.ncbi.nlm.nih.gov/geo/query/acc.cgi?acc=GSE115577</x:v>
      </x:c>
      <x:c r="O45" s="22" t="str">
        <x:v>https://www.ncbi.nlm.nih.gov/geo/query/acc.cgi?acc=GSE93601</x:v>
      </x:c>
      <x:c r="P45" s="22" t="str"/>
      <x:c r="Q45" s="22" t="str"/>
      <x:c r="R45" s="22" t="str">
        <x:v>OpenAI Codex structured public-record review</x:v>
      </x:c>
      <x:c r="S45" s="22" t="str">
        <x:v>44</x:v>
      </x:c>
      <x:c r="T45" s="26" t="str">
        <x:v>confirmed same patient/sample/material</x:v>
      </x:c>
      <x:c r="U45" s="26" t="str">
        <x:v>True</x:v>
      </x:c>
      <x:c r="V45" s="26" t="str">
        <x:v>Unique NHS patient/material identifier and plate label recur; tissue, age/year, cohort, and assay metadata align across the NHS reanalysis and original tumor study.</x:v>
      </x:c>
      <x:c r="W45" s="26" t="str">
        <x:v>https://www.ncbi.nlm.nih.gov/geo/query/acc.cgi?acc=GSM3183264&amp;targ=self&amp;form=text&amp;view=full; https://www.ncbi.nlm.nih.gov/geo/query/acc.cgi?acc=GSM2457906&amp;targ=self&amp;form=text&amp;view=full; https://www.ncbi.nlm.nih.gov/geo/query/acc.cgi?acc=GSE115577; https://www.ncbi.nlm.nih.gov/geo/query/acc.cgi?acc=GSE93601</x:v>
      </x:c>
      <x:c r="X45" s="27" t="str">
        <x:v>2026-09-27</x:v>
      </x:c>
      <x:c r="Y45" s="26" t="str">
        <x:v>Naol Beyene</x:v>
      </x:c>
      <x:c r="Z45" s="32" t="str">
        <x:v>Verified</x:v>
      </x:c>
      <x:c r="AA45" s="32" t="str">
        <x:v>Author manually verified the classification and cited evidence.</x:v>
      </x:c>
    </x:row>
    <x:row r="46" ht="42" customHeight="1">
      <x:c r="A46" s="22" t="str">
        <x:v>mdamb436</x:v>
      </x:c>
      <x:c r="B46" s="22" t="str">
        <x:v>GSE16732</x:v>
      </x:c>
      <x:c r="C46" s="22" t="str">
        <x:v>GSM419273</x:v>
      </x:c>
      <x:c r="D46" s="22" t="str">
        <x:v>MDA-MB-436</x:v>
      </x:c>
      <x:c r="E46" s="22" t="str">
        <x:v>GSE58135</x:v>
      </x:c>
      <x:c r="F46" s="22" t="str">
        <x:v>GSM1401656</x:v>
      </x:c>
      <x:c r="G46" s="22" t="str">
        <x:v>MDA-MB-436</x:v>
      </x:c>
      <x:c r="H46" s="22" t="str">
        <x:v>False</x:v>
      </x:c>
      <x:c r="I46" s="22" t="str">
        <x:v>False</x:v>
      </x:c>
      <x:c r="J46" s="22" t="str">
        <x:v>False</x:v>
      </x:c>
      <x:c r="K46" s="22" t="str">
        <x:v>False</x:v>
      </x:c>
      <x:c r="L46" s="22" t="str">
        <x:v>Affymetrix Gene Chip Human Exon 1.0 ST Array expression profiling of 41 human breast cancer cell lines</x:v>
      </x:c>
      <x:c r="M46" s="22" t="str">
        <x:v>Breast Cancer RNA-seq</x:v>
      </x:c>
      <x:c r="N46" s="22" t="str">
        <x:v>https://www.ncbi.nlm.nih.gov/geo/query/acc.cgi?acc=GSE16732</x:v>
      </x:c>
      <x:c r="O46" s="22" t="str">
        <x:v>https://www.ncbi.nlm.nih.gov/geo/query/acc.cgi?acc=GSE58135</x:v>
      </x:c>
      <x:c r="P46" s="22" t="str"/>
      <x:c r="Q46" s="22" t="str"/>
      <x:c r="R46" s="22" t="str">
        <x:v>OpenAI Codex structured public-record review</x:v>
      </x:c>
      <x:c r="S46" s="22" t="str">
        <x:v>45</x:v>
      </x:c>
      <x:c r="T46" s="26" t="str">
        <x:v>related study/model but identity not established</x:v>
      </x:c>
      <x:c r="U46" s="26" t="str">
        <x:v>False</x:v>
      </x:c>
      <x:c r="V46" s="26" t="str">
        <x:v>The records name the same established cell-line/model, but separate studies and culture/assay metadata do not establish the same physical aliquot (source: Breast cancer cell lines | Breast Cancer Cell Line; contact countries: Netherlands | USA).</x:v>
      </x:c>
      <x:c r="W46" s="26" t="str">
        <x:v>https://www.ncbi.nlm.nih.gov/geo/query/acc.cgi?acc=GSM419273&amp;targ=self&amp;form=text&amp;view=full; https://www.ncbi.nlm.nih.gov/geo/query/acc.cgi?acc=GSM1401656&amp;targ=self&amp;form=text&amp;view=full; https://www.ncbi.nlm.nih.gov/geo/query/acc.cgi?acc=GSE16732; https://www.ncbi.nlm.nih.gov/geo/query/acc.cgi?acc=GSE58135</x:v>
      </x:c>
      <x:c r="X46" s="27" t="str">
        <x:v>2026-09-27</x:v>
      </x:c>
      <x:c r="Y46" s="26" t="str">
        <x:v>Naol Beyene</x:v>
      </x:c>
      <x:c r="Z46" s="32" t="str">
        <x:v>Verified</x:v>
      </x:c>
      <x:c r="AA46" s="32" t="str">
        <x:v>Author manually verified the classification and cited evidence.</x:v>
      </x:c>
    </x:row>
    <x:row r="47" ht="42" customHeight="1">
      <x:c r="A47" s="22" t="str">
        <x:v>breastcancerus082</x:v>
      </x:c>
      <x:c r="B47" s="22" t="str">
        <x:v>GSE23988</x:v>
      </x:c>
      <x:c r="C47" s="22" t="str">
        <x:v>GSM590866</x:v>
      </x:c>
      <x:c r="D47" s="22" t="str">
        <x:v>breast cancer US082</x:v>
      </x:c>
      <x:c r="E47" s="22" t="str">
        <x:v>GSE42822</x:v>
      </x:c>
      <x:c r="F47" s="22" t="str">
        <x:v>GSM1050607</x:v>
      </x:c>
      <x:c r="G47" s="22" t="str">
        <x:v>breast cancer US082</x:v>
      </x:c>
      <x:c r="H47" s="22" t="str">
        <x:v>False</x:v>
      </x:c>
      <x:c r="I47" s="22" t="str">
        <x:v>False</x:v>
      </x:c>
      <x:c r="J47" s="22" t="str">
        <x:v>False</x:v>
      </x:c>
      <x:c r="K47" s="22" t="str">
        <x:v>False</x:v>
      </x:c>
      <x:c r="L47" s="22" t="str">
        <x:v>Expression data from breast cancer FNA biopsies from patients (US samples)</x:v>
      </x:c>
      <x:c r="M47" s="22" t="str">
        <x:v>Expression data from breast cancer FNA biopsies from patients ( (USO samples)</x:v>
      </x:c>
      <x:c r="N47" s="22" t="str">
        <x:v>https://www.ncbi.nlm.nih.gov/geo/query/acc.cgi?acc=GSE23988</x:v>
      </x:c>
      <x:c r="O47" s="22" t="str">
        <x:v>https://www.ncbi.nlm.nih.gov/geo/query/acc.cgi?acc=GSE42822</x:v>
      </x:c>
      <x:c r="P47" s="22" t="str"/>
      <x:c r="Q47" s="22" t="str"/>
      <x:c r="R47" s="22" t="str">
        <x:v>OpenAI Codex structured public-record review</x:v>
      </x:c>
      <x:c r="S47" s="22" t="str">
        <x:v>46</x:v>
      </x:c>
      <x:c r="T47" s="26" t="str">
        <x:v>confirmed same patient/sample/material</x:v>
      </x:c>
      <x:c r="U47" s="26" t="str">
        <x:v>True</x:v>
      </x:c>
      <x:c r="V47" s="26" t="str">
        <x:v>Unique US082 pretreatment FNA identifier and specimen description align; the independent expression check also found a reciprocal top-1 match.</x:v>
      </x:c>
      <x:c r="W47" s="26" t="str">
        <x:v>https://www.ncbi.nlm.nih.gov/geo/query/acc.cgi?acc=GSM590866&amp;targ=self&amp;form=text&amp;view=full; https://www.ncbi.nlm.nih.gov/geo/query/acc.cgi?acc=GSM1050607&amp;targ=self&amp;form=text&amp;view=full; https://www.ncbi.nlm.nih.gov/geo/query/acc.cgi?acc=GSE23988; https://www.ncbi.nlm.nih.gov/geo/query/acc.cgi?acc=GSE42822</x:v>
      </x:c>
      <x:c r="X47" s="27" t="str">
        <x:v>2026-09-27</x:v>
      </x:c>
      <x:c r="Y47" s="26" t="str">
        <x:v>Naol Beyene</x:v>
      </x:c>
      <x:c r="Z47" s="32" t="str">
        <x:v>Verified</x:v>
      </x:c>
      <x:c r="AA47" s="32" t="str">
        <x:v>Author manually verified the classification and cited evidence.</x:v>
      </x:c>
    </x:row>
    <x:row r="48" ht="42" customHeight="1">
      <x:c r="A48" s="22" t="str">
        <x:v>bt20</x:v>
      </x:c>
      <x:c r="B48" s="22" t="str">
        <x:v>GSE16732</x:v>
      </x:c>
      <x:c r="C48" s="22" t="str">
        <x:v>GSM419255</x:v>
      </x:c>
      <x:c r="D48" s="22" t="str">
        <x:v>BT20</x:v>
      </x:c>
      <x:c r="E48" s="22" t="str">
        <x:v>GSE87006</x:v>
      </x:c>
      <x:c r="F48" s="22" t="str">
        <x:v>GSM2318755</x:v>
      </x:c>
      <x:c r="G48" s="22" t="str">
        <x:v>BT20</x:v>
      </x:c>
      <x:c r="H48" s="22" t="str">
        <x:v>False</x:v>
      </x:c>
      <x:c r="I48" s="22" t="str">
        <x:v>False</x:v>
      </x:c>
      <x:c r="J48" s="22" t="str">
        <x:v>False</x:v>
      </x:c>
      <x:c r="K48" s="22" t="str">
        <x:v>False</x:v>
      </x:c>
      <x:c r="L48" s="22" t="str">
        <x:v>Affymetrix Gene Chip Human Exon 1.0 ST Array expression profiling of 41 human breast cancer cell lines</x:v>
      </x:c>
      <x:c r="M48" s="22" t="str">
        <x:v>CDK4 phosphorylation status and a linked gene expression profile predict sensitivity to Palbociclib [lines]</x:v>
      </x:c>
      <x:c r="N48" s="22" t="str">
        <x:v>https://www.ncbi.nlm.nih.gov/geo/query/acc.cgi?acc=GSE16732</x:v>
      </x:c>
      <x:c r="O48" s="22" t="str">
        <x:v>https://www.ncbi.nlm.nih.gov/geo/query/acc.cgi?acc=GSE87006</x:v>
      </x:c>
      <x:c r="P48" s="22" t="str"/>
      <x:c r="Q48" s="22" t="str"/>
      <x:c r="R48" s="22" t="str">
        <x:v>OpenAI Codex structured public-record review</x:v>
      </x:c>
      <x:c r="S48" s="22" t="str">
        <x:v>47</x:v>
      </x:c>
      <x:c r="T48" s="26" t="str">
        <x:v>related study/model but identity not established</x:v>
      </x:c>
      <x:c r="U48" s="26" t="str">
        <x:v>False</x:v>
      </x:c>
      <x:c r="V48" s="26" t="str">
        <x:v>The records name the same established cell-line/model, but separate studies and culture/assay metadata do not establish the same physical aliquot (source: Breast cancer cell lines | ATCC; contact countries: Netherlands | Belgium).</x:v>
      </x:c>
      <x:c r="W48" s="26" t="str">
        <x:v>https://www.ncbi.nlm.nih.gov/geo/query/acc.cgi?acc=GSM419255&amp;targ=self&amp;form=text&amp;view=full; https://www.ncbi.nlm.nih.gov/geo/query/acc.cgi?acc=GSM2318755&amp;targ=self&amp;form=text&amp;view=full; https://www.ncbi.nlm.nih.gov/geo/query/acc.cgi?acc=GSE16732; https://www.ncbi.nlm.nih.gov/geo/query/acc.cgi?acc=GSE87006</x:v>
      </x:c>
      <x:c r="X48" s="27" t="str">
        <x:v>2026-09-27</x:v>
      </x:c>
      <x:c r="Y48" s="26" t="str">
        <x:v>Naol Beyene</x:v>
      </x:c>
      <x:c r="Z48" s="32" t="str">
        <x:v>Verified</x:v>
      </x:c>
      <x:c r="AA48" s="32" t="str">
        <x:v>Author manually verified the classification and cited evidence.</x:v>
      </x:c>
    </x:row>
    <x:row r="49" ht="42" customHeight="1">
      <x:c r="A49" s="22" t="str">
        <x:v>bc14</x:v>
      </x:c>
      <x:c r="B49" s="22" t="str">
        <x:v>GSE21653</x:v>
      </x:c>
      <x:c r="C49" s="22" t="str">
        <x:v>GSM540121</x:v>
      </x:c>
      <x:c r="D49" s="22" t="str">
        <x:v>BC14</x:v>
      </x:c>
      <x:c r="E49" s="22" t="str">
        <x:v>GSE4382</x:v>
      </x:c>
      <x:c r="F49" s="22" t="str">
        <x:v>GSM1852</x:v>
      </x:c>
      <x:c r="G49" s="22" t="str">
        <x:v>BC14</x:v>
      </x:c>
      <x:c r="H49" s="22" t="str">
        <x:v>False</x:v>
      </x:c>
      <x:c r="I49" s="22" t="str">
        <x:v>False</x:v>
      </x:c>
      <x:c r="J49" s="22" t="str">
        <x:v>False</x:v>
      </x:c>
      <x:c r="K49" s="22" t="str">
        <x:v>False</x:v>
      </x:c>
      <x:c r="L49" s="22" t="str">
        <x:v>A gene expression signature identifies two prognostic subgroups of basal breast cancer</x:v>
      </x:c>
      <x:c r="M49" s="22" t="str">
        <x:v>Repeated observation of breast tumor subtypes in independent gene expression data sets</x:v>
      </x:c>
      <x:c r="N49" s="22" t="str">
        <x:v>https://www.ncbi.nlm.nih.gov/geo/query/acc.cgi?acc=GSE21653</x:v>
      </x:c>
      <x:c r="O49" s="22" t="str">
        <x:v>https://www.ncbi.nlm.nih.gov/geo/query/acc.cgi?acc=GSE4382</x:v>
      </x:c>
      <x:c r="P49" s="22" t="str"/>
      <x:c r="Q49" s="22" t="str"/>
      <x:c r="R49" s="22" t="str">
        <x:v>OpenAI Codex structured public-record review</x:v>
      </x:c>
      <x:c r="S49" s="22" t="str">
        <x:v>48</x:v>
      </x:c>
      <x:c r="T49" s="26" t="str">
        <x:v>probable same patient/material</x:v>
      </x:c>
      <x:c r="U49" s="26" t="str">
        <x:v>True</x:v>
      </x:c>
      <x:c r="V49" s="26" t="str">
        <x:v>GSE21653 explicitly analyzes collected public breast-cancer datasets and reuses the BC14 identifier; provenance supports reuse, but the available headers do not uniquely establish the physical aliquot.</x:v>
      </x:c>
      <x:c r="W49" s="26" t="str">
        <x:v>https://www.ncbi.nlm.nih.gov/geo/query/acc.cgi?acc=GSM540121&amp;targ=self&amp;form=text&amp;view=full; https://www.ncbi.nlm.nih.gov/geo/query/acc.cgi?acc=GSM1852&amp;targ=self&amp;form=text&amp;view=full; https://www.ncbi.nlm.nih.gov/geo/query/acc.cgi?acc=GSE21653; https://www.ncbi.nlm.nih.gov/geo/query/acc.cgi?acc=GSE4382</x:v>
      </x:c>
      <x:c r="X49" s="27" t="str">
        <x:v>2026-09-27</x:v>
      </x:c>
      <x:c r="Y49" s="26" t="str">
        <x:v>Naol Beyene</x:v>
      </x:c>
      <x:c r="Z49" s="32" t="str">
        <x:v>Verified</x:v>
      </x:c>
      <x:c r="AA49" s="32" t="str">
        <x:v>Author manually verified the classification and cited evidence.</x:v>
      </x:c>
    </x:row>
    <x:row r="50" ht="42" customHeight="1">
      <x:c r="A50" s="22" t="str">
        <x:v>breastcancercelllinezr7530</x:v>
      </x:c>
      <x:c r="B50" s="22" t="str">
        <x:v>GSE12790</x:v>
      </x:c>
      <x:c r="C50" s="22" t="str">
        <x:v>GSM320633</x:v>
      </x:c>
      <x:c r="D50" s="22" t="str">
        <x:v>breast cancer cell line_ZR75-30</x:v>
      </x:c>
      <x:c r="E50" s="22" t="str">
        <x:v>GSE7860</x:v>
      </x:c>
      <x:c r="F50" s="22" t="str">
        <x:v>GSM172992</x:v>
      </x:c>
      <x:c r="G50" s="22" t="str">
        <x:v>Breast cancer cell line ZR7530</x:v>
      </x:c>
      <x:c r="H50" s="22" t="str">
        <x:v>False</x:v>
      </x:c>
      <x:c r="I50" s="22" t="str">
        <x:v>False</x:v>
      </x:c>
      <x:c r="J50" s="22" t="str">
        <x:v>False</x:v>
      </x:c>
      <x:c r="K50" s="22" t="str">
        <x:v>False</x:v>
      </x:c>
      <x:c r="L50" s="22" t="str">
        <x:v>Gene expression profiling of human breast cancers and cancer cell lines</x:v>
      </x:c>
      <x:c r="M50" s="22" t="str">
        <x:v>Non-coding antisense transcription detected by conventional and single-stranded cDNA microarray</x:v>
      </x:c>
      <x:c r="N50" s="22" t="str">
        <x:v>https://www.ncbi.nlm.nih.gov/geo/query/acc.cgi?acc=GSE12790</x:v>
      </x:c>
      <x:c r="O50" s="22" t="str">
        <x:v>https://www.ncbi.nlm.nih.gov/geo/query/acc.cgi?acc=GSE7860</x:v>
      </x:c>
      <x:c r="P50" s="22" t="str"/>
      <x:c r="Q50" s="22" t="str"/>
      <x:c r="R50" s="22" t="str">
        <x:v>OpenAI Codex structured public-record review</x:v>
      </x:c>
      <x:c r="S50" s="22" t="str">
        <x:v>49</x:v>
      </x:c>
      <x:c r="T50" s="26" t="str">
        <x:v>related study/model but identity not established</x:v>
      </x:c>
      <x:c r="U50" s="26" t="str">
        <x:v>False</x:v>
      </x:c>
      <x:c r="V50" s="26" t="str">
        <x:v>The records name the same established cell-line/model, but separate studies and culture/assay metadata do not establish the same physical aliquot (source: Breast cancer | ZR7530; contact countries: USA | Sweden).</x:v>
      </x:c>
      <x:c r="W50" s="26" t="str">
        <x:v>https://www.ncbi.nlm.nih.gov/geo/query/acc.cgi?acc=GSM320633&amp;targ=self&amp;form=text&amp;view=full; https://www.ncbi.nlm.nih.gov/geo/query/acc.cgi?acc=GSM172992&amp;targ=self&amp;form=text&amp;view=full; https://www.ncbi.nlm.nih.gov/geo/query/acc.cgi?acc=GSE12790; https://www.ncbi.nlm.nih.gov/geo/query/acc.cgi?acc=GSE7860</x:v>
      </x:c>
      <x:c r="X50" s="27" t="str">
        <x:v>2026-09-27</x:v>
      </x:c>
      <x:c r="Y50" s="26" t="str">
        <x:v>Naol Beyene</x:v>
      </x:c>
      <x:c r="Z50" s="32" t="str">
        <x:v>Verified</x:v>
      </x:c>
      <x:c r="AA50" s="32" t="str">
        <x:v>Author manually verified the classification and cited evidence.</x:v>
      </x:c>
    </x:row>
    <x:row r="51" ht="42" customHeight="1">
      <x:c r="A51" s="22" t="str">
        <x:v>ffpex118488994x45345plate4</x:v>
      </x:c>
      <x:c r="B51" s="22" t="str">
        <x:v>GSE115577</x:v>
      </x:c>
      <x:c r="C51" s="22" t="str">
        <x:v>GSM3183003</x:v>
      </x:c>
      <x:c r="D51" s="22" t="str">
        <x:v>FFPE X118488994 [X45_345_PLATE4]</x:v>
      </x:c>
      <x:c r="E51" s="22" t="str">
        <x:v>GSE93601</x:v>
      </x:c>
      <x:c r="F51" s="22" t="str">
        <x:v>GSM2457737</x:v>
      </x:c>
      <x:c r="G51" s="22" t="str">
        <x:v>FFPE_X118488994 [X45_345_PLATE4]</x:v>
      </x:c>
      <x:c r="H51" s="22" t="str">
        <x:v>False</x:v>
      </x:c>
      <x:c r="I51" s="22" t="str">
        <x:v>False</x:v>
      </x:c>
      <x:c r="J51" s="22" t="str">
        <x:v>False</x:v>
      </x:c>
      <x:c r="K51" s="22" t="str">
        <x:v>False</x:v>
      </x:c>
      <x:c r="L51" s="22" t="str">
        <x:v>Tumor &amp; Tumor-Adj Gene Expression in the Nurses' Health Study Cohorts</x:v>
      </x:c>
      <x:c r="M51" s="22" t="str">
        <x:v>Alcohol Consumption and Breast Tumor Gene Expression</x:v>
      </x:c>
      <x:c r="N51" s="22" t="str">
        <x:v>https://www.ncbi.nlm.nih.gov/geo/query/acc.cgi?acc=GSE115577</x:v>
      </x:c>
      <x:c r="O51" s="22" t="str">
        <x:v>https://www.ncbi.nlm.nih.gov/geo/query/acc.cgi?acc=GSE93601</x:v>
      </x:c>
      <x:c r="P51" s="22" t="str"/>
      <x:c r="Q51" s="22" t="str"/>
      <x:c r="R51" s="22" t="str">
        <x:v>OpenAI Codex structured public-record review</x:v>
      </x:c>
      <x:c r="S51" s="22" t="str">
        <x:v>50</x:v>
      </x:c>
      <x:c r="T51" s="26" t="str">
        <x:v>confirmed same patient/sample/material</x:v>
      </x:c>
      <x:c r="U51" s="26" t="str">
        <x:v>True</x:v>
      </x:c>
      <x:c r="V51" s="26" t="str">
        <x:v>Unique NHS patient/material identifier and plate label recur; tissue, age/year, cohort, and assay metadata align across the NHS reanalysis and original tumor study.</x:v>
      </x:c>
      <x:c r="W51" s="26" t="str">
        <x:v>https://www.ncbi.nlm.nih.gov/geo/query/acc.cgi?acc=GSM3183003&amp;targ=self&amp;form=text&amp;view=full; https://www.ncbi.nlm.nih.gov/geo/query/acc.cgi?acc=GSM2457737&amp;targ=self&amp;form=text&amp;view=full; https://www.ncbi.nlm.nih.gov/geo/query/acc.cgi?acc=GSE115577; https://www.ncbi.nlm.nih.gov/geo/query/acc.cgi?acc=GSE93601</x:v>
      </x:c>
      <x:c r="X51" s="27" t="str">
        <x:v>2026-09-27</x:v>
      </x:c>
      <x:c r="Y51" s="26" t="str">
        <x:v>Naol Beyene</x:v>
      </x:c>
      <x:c r="Z51" s="32" t="str">
        <x:v>Verified</x:v>
      </x:c>
      <x:c r="AA51" s="32" t="str">
        <x:v>Author manually verified the classification and cited evidence.</x:v>
      </x:c>
    </x:row>
    <x:row r="52" ht="42" customHeight="1">
      <x:c r="A52" s="22" t="str">
        <x:v>ffpex110511502x27824plate9hglue30v1</x:v>
      </x:c>
      <x:c r="B52" s="22" t="str">
        <x:v>GSE115577</x:v>
      </x:c>
      <x:c r="C52" s="22" t="str">
        <x:v>GSM3183409</x:v>
      </x:c>
      <x:c r="D52" s="22" t="str">
        <x:v>FFPE X110511502 [X27_824_plate9_.hGlue_3_0_v1]</x:v>
      </x:c>
      <x:c r="E52" s="22" t="str">
        <x:v>GSE93601</x:v>
      </x:c>
      <x:c r="F52" s="22" t="str">
        <x:v>GSM2457936</x:v>
      </x:c>
      <x:c r="G52" s="22" t="str">
        <x:v>FFPE_X110511502 [X27_824_plate9_.hGlue_3_0_v1.]</x:v>
      </x:c>
      <x:c r="H52" s="22" t="str">
        <x:v>False</x:v>
      </x:c>
      <x:c r="I52" s="22" t="str">
        <x:v>False</x:v>
      </x:c>
      <x:c r="J52" s="22" t="str">
        <x:v>False</x:v>
      </x:c>
      <x:c r="K52" s="22" t="str">
        <x:v>False</x:v>
      </x:c>
      <x:c r="L52" s="22" t="str">
        <x:v>Tumor &amp; Tumor-Adj Gene Expression in the Nurses' Health Study Cohorts</x:v>
      </x:c>
      <x:c r="M52" s="22" t="str">
        <x:v>Alcohol Consumption and Breast Tumor Gene Expression</x:v>
      </x:c>
      <x:c r="N52" s="22" t="str">
        <x:v>https://www.ncbi.nlm.nih.gov/geo/query/acc.cgi?acc=GSE115577</x:v>
      </x:c>
      <x:c r="O52" s="22" t="str">
        <x:v>https://www.ncbi.nlm.nih.gov/geo/query/acc.cgi?acc=GSE93601</x:v>
      </x:c>
      <x:c r="P52" s="22" t="str"/>
      <x:c r="Q52" s="22" t="str"/>
      <x:c r="R52" s="22" t="str">
        <x:v>OpenAI Codex structured public-record review</x:v>
      </x:c>
      <x:c r="S52" s="22" t="str">
        <x:v>51</x:v>
      </x:c>
      <x:c r="T52" s="26" t="str">
        <x:v>confirmed same patient/sample/material</x:v>
      </x:c>
      <x:c r="U52" s="26" t="str">
        <x:v>True</x:v>
      </x:c>
      <x:c r="V52" s="26" t="str">
        <x:v>Unique NHS patient/material identifier and plate label recur; tissue, age/year, cohort, and assay metadata align across the NHS reanalysis and original tumor study.</x:v>
      </x:c>
      <x:c r="W52" s="26" t="str">
        <x:v>https://www.ncbi.nlm.nih.gov/geo/query/acc.cgi?acc=GSM3183409&amp;targ=self&amp;form=text&amp;view=full; https://www.ncbi.nlm.nih.gov/geo/query/acc.cgi?acc=GSM2457936&amp;targ=self&amp;form=text&amp;view=full; https://www.ncbi.nlm.nih.gov/geo/query/acc.cgi?acc=GSE115577; https://www.ncbi.nlm.nih.gov/geo/query/acc.cgi?acc=GSE93601</x:v>
      </x:c>
      <x:c r="X52" s="27" t="str">
        <x:v>2026-09-27</x:v>
      </x:c>
      <x:c r="Y52" s="26" t="str">
        <x:v>Naol Beyene</x:v>
      </x:c>
      <x:c r="Z52" s="32" t="str">
        <x:v>Verified</x:v>
      </x:c>
      <x:c r="AA52" s="32" t="str">
        <x:v>Author manually verified the classification and cited evidence.</x:v>
      </x:c>
    </x:row>
    <x:row r="53" ht="42" customHeight="1">
      <x:c r="A53" s="22" t="str">
        <x:v>ffpex114873439x17626</x:v>
      </x:c>
      <x:c r="B53" s="22" t="str">
        <x:v>GSE115577</x:v>
      </x:c>
      <x:c r="C53" s="22" t="str">
        <x:v>GSM3183230</x:v>
      </x:c>
      <x:c r="D53" s="22" t="str">
        <x:v>FFPE X114873439 [X17_626]</x:v>
      </x:c>
      <x:c r="E53" s="22" t="str">
        <x:v>GSE93601</x:v>
      </x:c>
      <x:c r="F53" s="22" t="str">
        <x:v>GSM2457863</x:v>
      </x:c>
      <x:c r="G53" s="22" t="str">
        <x:v>FFPE_X114873439 [X17_626]</x:v>
      </x:c>
      <x:c r="H53" s="22" t="str">
        <x:v>False</x:v>
      </x:c>
      <x:c r="I53" s="22" t="str">
        <x:v>False</x:v>
      </x:c>
      <x:c r="J53" s="22" t="str">
        <x:v>False</x:v>
      </x:c>
      <x:c r="K53" s="22" t="str">
        <x:v>False</x:v>
      </x:c>
      <x:c r="L53" s="22" t="str">
        <x:v>Tumor &amp; Tumor-Adj Gene Expression in the Nurses' Health Study Cohorts</x:v>
      </x:c>
      <x:c r="M53" s="22" t="str">
        <x:v>Alcohol Consumption and Breast Tumor Gene Expression</x:v>
      </x:c>
      <x:c r="N53" s="22" t="str">
        <x:v>https://www.ncbi.nlm.nih.gov/geo/query/acc.cgi?acc=GSE115577</x:v>
      </x:c>
      <x:c r="O53" s="22" t="str">
        <x:v>https://www.ncbi.nlm.nih.gov/geo/query/acc.cgi?acc=GSE93601</x:v>
      </x:c>
      <x:c r="P53" s="22" t="str"/>
      <x:c r="Q53" s="22" t="str"/>
      <x:c r="R53" s="22" t="str">
        <x:v>OpenAI Codex structured public-record review</x:v>
      </x:c>
      <x:c r="S53" s="22" t="str">
        <x:v>52</x:v>
      </x:c>
      <x:c r="T53" s="26" t="str">
        <x:v>confirmed same patient/sample/material</x:v>
      </x:c>
      <x:c r="U53" s="26" t="str">
        <x:v>True</x:v>
      </x:c>
      <x:c r="V53" s="26" t="str">
        <x:v>Unique NHS patient/material identifier and plate label recur; tissue, age/year, cohort, and assay metadata align across the NHS reanalysis and original tumor study.</x:v>
      </x:c>
      <x:c r="W53" s="26" t="str">
        <x:v>https://www.ncbi.nlm.nih.gov/geo/query/acc.cgi?acc=GSM3183230&amp;targ=self&amp;form=text&amp;view=full; https://www.ncbi.nlm.nih.gov/geo/query/acc.cgi?acc=GSM2457863&amp;targ=self&amp;form=text&amp;view=full; https://www.ncbi.nlm.nih.gov/geo/query/acc.cgi?acc=GSE115577; https://www.ncbi.nlm.nih.gov/geo/query/acc.cgi?acc=GSE93601</x:v>
      </x:c>
      <x:c r="X53" s="27" t="str">
        <x:v>2026-09-27</x:v>
      </x:c>
      <x:c r="Y53" s="26" t="str">
        <x:v>Naol Beyene</x:v>
      </x:c>
      <x:c r="Z53" s="32" t="str">
        <x:v>Verified</x:v>
      </x:c>
      <x:c r="AA53" s="32" t="str">
        <x:v>Author manually verified the classification and cited evidence.</x:v>
      </x:c>
    </x:row>
    <x:row r="54" ht="42" customHeight="1">
      <x:c r="A54" s="22" t="str">
        <x:v>ffpex213222829x19x189nhsiiplate3</x:v>
      </x:c>
      <x:c r="B54" s="22" t="str">
        <x:v>GSE115577</x:v>
      </x:c>
      <x:c r="C54" s="22" t="str">
        <x:v>GSM3183597</x:v>
      </x:c>
      <x:c r="D54" s="22" t="str">
        <x:v>FFPE X213222829 [X19_X.189_NHSIIplate3]</x:v>
      </x:c>
      <x:c r="E54" s="22" t="str">
        <x:v>GSE93601</x:v>
      </x:c>
      <x:c r="F54" s="22" t="str">
        <x:v>GSM2458287</x:v>
      </x:c>
      <x:c r="G54" s="22" t="str">
        <x:v>FFPE_X213222829 [X19_X.189_NHSIIplate3]</x:v>
      </x:c>
      <x:c r="H54" s="22" t="str">
        <x:v>False</x:v>
      </x:c>
      <x:c r="I54" s="22" t="str">
        <x:v>False</x:v>
      </x:c>
      <x:c r="J54" s="22" t="str">
        <x:v>False</x:v>
      </x:c>
      <x:c r="K54" s="22" t="str">
        <x:v>False</x:v>
      </x:c>
      <x:c r="L54" s="22" t="str">
        <x:v>Tumor &amp; Tumor-Adj Gene Expression in the Nurses' Health Study Cohorts</x:v>
      </x:c>
      <x:c r="M54" s="22" t="str">
        <x:v>Alcohol Consumption and Breast Tumor Gene Expression</x:v>
      </x:c>
      <x:c r="N54" s="22" t="str">
        <x:v>https://www.ncbi.nlm.nih.gov/geo/query/acc.cgi?acc=GSE115577</x:v>
      </x:c>
      <x:c r="O54" s="22" t="str">
        <x:v>https://www.ncbi.nlm.nih.gov/geo/query/acc.cgi?acc=GSE93601</x:v>
      </x:c>
      <x:c r="P54" s="22" t="str"/>
      <x:c r="Q54" s="22" t="str"/>
      <x:c r="R54" s="22" t="str">
        <x:v>OpenAI Codex structured public-record review</x:v>
      </x:c>
      <x:c r="S54" s="22" t="str">
        <x:v>53</x:v>
      </x:c>
      <x:c r="T54" s="26" t="str">
        <x:v>confirmed same patient/sample/material</x:v>
      </x:c>
      <x:c r="U54" s="26" t="str">
        <x:v>True</x:v>
      </x:c>
      <x:c r="V54" s="26" t="str">
        <x:v>Unique NHS patient/material identifier and plate label recur; tissue, age/year, cohort, and assay metadata align across the NHS reanalysis and original tumor study.</x:v>
      </x:c>
      <x:c r="W54" s="26" t="str">
        <x:v>https://www.ncbi.nlm.nih.gov/geo/query/acc.cgi?acc=GSM3183597&amp;targ=self&amp;form=text&amp;view=full; https://www.ncbi.nlm.nih.gov/geo/query/acc.cgi?acc=GSM2458287&amp;targ=self&amp;form=text&amp;view=full; https://www.ncbi.nlm.nih.gov/geo/query/acc.cgi?acc=GSE115577; https://www.ncbi.nlm.nih.gov/geo/query/acc.cgi?acc=GSE93601</x:v>
      </x:c>
      <x:c r="X54" s="27" t="str">
        <x:v>2026-09-27</x:v>
      </x:c>
      <x:c r="Y54" s="26" t="str">
        <x:v>Naol Beyene</x:v>
      </x:c>
      <x:c r="Z54" s="32" t="str">
        <x:v>Verified</x:v>
      </x:c>
      <x:c r="AA54" s="32" t="str">
        <x:v>Author manually verified the classification and cited evidence.</x:v>
      </x:c>
    </x:row>
    <x:row r="55" ht="42" customHeight="1">
      <x:c r="A55" s="22" t="str">
        <x:v>mcf10acsn5s3</x:v>
      </x:c>
      <x:c r="B55" s="22" t="str">
        <x:v>GSE2824</x:v>
      </x:c>
      <x:c r="C55" s="22" t="str">
        <x:v>GSM61793</x:v>
      </x:c>
      <x:c r="D55" s="22" t="str">
        <x:v>MCF10A CSN5 S3</x:v>
      </x:c>
      <x:c r="E55" s="22" t="str">
        <x:v>GSE4433</x:v>
      </x:c>
      <x:c r="F55" s="22" t="str">
        <x:v>GSM99818</x:v>
      </x:c>
      <x:c r="G55" s="22" t="str">
        <x:v>MCF10A CSN5 S3</x:v>
      </x:c>
      <x:c r="H55" s="22" t="str">
        <x:v>True</x:v>
      </x:c>
      <x:c r="I55" s="22" t="str">
        <x:v>False</x:v>
      </x:c>
      <x:c r="J55" s="22" t="str">
        <x:v>False</x:v>
      </x:c>
      <x:c r="K55" s="22" t="str">
        <x:v>True</x:v>
      </x:c>
      <x:c r="L55" s="22" t="str">
        <x:v>MCF10A_MYC_PLUS_CSN5</x:v>
      </x:c>
      <x:c r="M55" s="22" t="str">
        <x:v>Genetic regulators of large-scale transcriptional signatures in cancer</x:v>
      </x:c>
      <x:c r="N55" s="22" t="str">
        <x:v>https://www.ncbi.nlm.nih.gov/geo/query/acc.cgi?acc=GSE2824</x:v>
      </x:c>
      <x:c r="O55" s="22" t="str">
        <x:v>https://www.ncbi.nlm.nih.gov/geo/query/acc.cgi?acc=GSE4433</x:v>
      </x:c>
      <x:c r="P55" s="22" t="str"/>
      <x:c r="Q55" s="22" t="str"/>
      <x:c r="R55" s="22" t="str">
        <x:v>OpenAI Codex structured public-record review</x:v>
      </x:c>
      <x:c r="S55" s="22" t="str">
        <x:v>54</x:v>
      </x:c>
      <x:c r="T55" s="26" t="str">
        <x:v>confirmed same patient/sample/material</x:v>
      </x:c>
      <x:c r="U55" s="26" t="str">
        <x:v>True</x:v>
      </x:c>
      <x:c r="V55" s="26" t="str">
        <x:v>Shared publication 16518402 and identical Stanford microarray image identifier 58746 identify the same deposited assay/material.</x:v>
      </x:c>
      <x:c r="W55" s="26" t="str">
        <x:v>https://www.ncbi.nlm.nih.gov/geo/query/acc.cgi?acc=GSM61793&amp;targ=self&amp;form=text&amp;view=full; https://www.ncbi.nlm.nih.gov/geo/query/acc.cgi?acc=GSM99818&amp;targ=self&amp;form=text&amp;view=full; https://www.ncbi.nlm.nih.gov/geo/query/acc.cgi?acc=GSE2824; https://www.ncbi.nlm.nih.gov/geo/query/acc.cgi?acc=GSE4433; https://pubmed.ncbi.nlm.nih.gov/16518402/</x:v>
      </x:c>
      <x:c r="X55" s="27" t="str">
        <x:v>2026-09-27</x:v>
      </x:c>
      <x:c r="Y55" s="26" t="str">
        <x:v>Naol Beyene</x:v>
      </x:c>
      <x:c r="Z55" s="32" t="str">
        <x:v>Verified</x:v>
      </x:c>
      <x:c r="AA55" s="32" t="str">
        <x:v>Author manually verified the classification and cited evidence.</x:v>
      </x:c>
    </x:row>
    <x:row r="56" ht="42" customHeight="1">
      <x:c r="A56" s="22" t="str">
        <x:v>uacc812</x:v>
      </x:c>
      <x:c r="B56" s="22" t="str">
        <x:v>GSE21217</x:v>
      </x:c>
      <x:c r="C56" s="22" t="str">
        <x:v>GSM530553</x:v>
      </x:c>
      <x:c r="D56" s="22" t="str">
        <x:v>UACC812</x:v>
      </x:c>
      <x:c r="E56" s="22" t="str">
        <x:v>GSE41119</x:v>
      </x:c>
      <x:c r="F56" s="22" t="str">
        <x:v>GSM1008920</x:v>
      </x:c>
      <x:c r="G56" s="22" t="str">
        <x:v>UACC812</x:v>
      </x:c>
      <x:c r="H56" s="22" t="str">
        <x:v>False</x:v>
      </x:c>
      <x:c r="I56" s="22" t="str">
        <x:v>False</x:v>
      </x:c>
      <x:c r="J56" s="22" t="str">
        <x:v>False</x:v>
      </x:c>
      <x:c r="K56" s="22" t="str">
        <x:v>False</x:v>
      </x:c>
      <x:c r="L56" s="22" t="str">
        <x:v>18F-fluorodeoxy-glucose positron emission tomography marks MYC-overexpressing human basal-like breast cancers.</x:v>
      </x:c>
      <x:c r="M56" s="22" t="str">
        <x:v>Molecular Characterization of Basal-like and Non-Basal-like Triple-Negative Breast Cancers</x:v>
      </x:c>
      <x:c r="N56" s="22" t="str">
        <x:v>https://www.ncbi.nlm.nih.gov/geo/query/acc.cgi?acc=GSE21217</x:v>
      </x:c>
      <x:c r="O56" s="22" t="str">
        <x:v>https://www.ncbi.nlm.nih.gov/geo/query/acc.cgi?acc=GSE41119</x:v>
      </x:c>
      <x:c r="P56" s="22" t="str"/>
      <x:c r="Q56" s="22" t="str"/>
      <x:c r="R56" s="22" t="str">
        <x:v>OpenAI Codex structured public-record review</x:v>
      </x:c>
      <x:c r="S56" s="22" t="str">
        <x:v>55</x:v>
      </x:c>
      <x:c r="T56" s="26" t="str">
        <x:v>evidence against identity</x:v>
      </x:c>
      <x:c r="U56" s="26" t="str">
        <x:v>False</x:v>
      </x:c>
      <x:c r="V56" s="26" t="str">
        <x:v>Matching short/local title conflicts with study or specimen metadata (source: ATCC | Human Reference; contact countries: USA | USA); no shared publication or BioProject establishes identity.</x:v>
      </x:c>
      <x:c r="W56" s="26" t="str">
        <x:v>https://www.ncbi.nlm.nih.gov/geo/query/acc.cgi?acc=GSM530553&amp;targ=self&amp;form=text&amp;view=full; https://www.ncbi.nlm.nih.gov/geo/query/acc.cgi?acc=GSM1008920&amp;targ=self&amp;form=text&amp;view=full; https://www.ncbi.nlm.nih.gov/geo/query/acc.cgi?acc=GSE21217; https://www.ncbi.nlm.nih.gov/geo/query/acc.cgi?acc=GSE41119</x:v>
      </x:c>
      <x:c r="X56" s="27" t="str">
        <x:v>2026-09-27</x:v>
      </x:c>
      <x:c r="Y56" s="26" t="str">
        <x:v>Naol Beyene</x:v>
      </x:c>
      <x:c r="Z56" s="32" t="str">
        <x:v>Verified</x:v>
      </x:c>
      <x:c r="AA56" s="32" t="str">
        <x:v>Author manually verified the classification and cited evidence.</x:v>
      </x:c>
    </x:row>
    <x:row r="57" ht="42" customHeight="1">
      <x:c r="A57" s="22" t="str">
        <x:v>ffpex110882280x59786</x:v>
      </x:c>
      <x:c r="B57" s="22" t="str">
        <x:v>GSE115577</x:v>
      </x:c>
      <x:c r="C57" s="22" t="str">
        <x:v>GSM3183374</x:v>
      </x:c>
      <x:c r="D57" s="22" t="str">
        <x:v>FFPE X110882280 [X59_786]</x:v>
      </x:c>
      <x:c r="E57" s="22" t="str">
        <x:v>GSE93601</x:v>
      </x:c>
      <x:c r="F57" s="22" t="str">
        <x:v>GSM2457442</x:v>
      </x:c>
      <x:c r="G57" s="22" t="str">
        <x:v>FFPE_X110882280 [X59_786]</x:v>
      </x:c>
      <x:c r="H57" s="22" t="str">
        <x:v>False</x:v>
      </x:c>
      <x:c r="I57" s="22" t="str">
        <x:v>False</x:v>
      </x:c>
      <x:c r="J57" s="22" t="str">
        <x:v>False</x:v>
      </x:c>
      <x:c r="K57" s="22" t="str">
        <x:v>False</x:v>
      </x:c>
      <x:c r="L57" s="22" t="str">
        <x:v>Tumor &amp; Tumor-Adj Gene Expression in the Nurses' Health Study Cohorts</x:v>
      </x:c>
      <x:c r="M57" s="22" t="str">
        <x:v>Alcohol Consumption and Breast Tumor Gene Expression</x:v>
      </x:c>
      <x:c r="N57" s="22" t="str">
        <x:v>https://www.ncbi.nlm.nih.gov/geo/query/acc.cgi?acc=GSE115577</x:v>
      </x:c>
      <x:c r="O57" s="22" t="str">
        <x:v>https://www.ncbi.nlm.nih.gov/geo/query/acc.cgi?acc=GSE93601</x:v>
      </x:c>
      <x:c r="P57" s="22" t="str"/>
      <x:c r="Q57" s="22" t="str"/>
      <x:c r="R57" s="22" t="str">
        <x:v>OpenAI Codex structured public-record review</x:v>
      </x:c>
      <x:c r="S57" s="22" t="str">
        <x:v>56</x:v>
      </x:c>
      <x:c r="T57" s="26" t="str">
        <x:v>confirmed same patient/sample/material</x:v>
      </x:c>
      <x:c r="U57" s="26" t="str">
        <x:v>True</x:v>
      </x:c>
      <x:c r="V57" s="26" t="str">
        <x:v>Unique NHS patient/material identifier and plate label recur; tissue, age/year, cohort, and assay metadata align across the NHS reanalysis and original tumor study.</x:v>
      </x:c>
      <x:c r="W57" s="26" t="str">
        <x:v>https://www.ncbi.nlm.nih.gov/geo/query/acc.cgi?acc=GSM3183374&amp;targ=self&amp;form=text&amp;view=full; https://www.ncbi.nlm.nih.gov/geo/query/acc.cgi?acc=GSM2457442&amp;targ=self&amp;form=text&amp;view=full; https://www.ncbi.nlm.nih.gov/geo/query/acc.cgi?acc=GSE115577; https://www.ncbi.nlm.nih.gov/geo/query/acc.cgi?acc=GSE93601</x:v>
      </x:c>
      <x:c r="X57" s="27" t="str">
        <x:v>2026-09-27</x:v>
      </x:c>
      <x:c r="Y57" s="26" t="str">
        <x:v>Naol Beyene</x:v>
      </x:c>
      <x:c r="Z57" s="32" t="str">
        <x:v>Verified</x:v>
      </x:c>
      <x:c r="AA57" s="32" t="str">
        <x:v>Author manually verified the classification and cited evidence.</x:v>
      </x:c>
    </x:row>
    <x:row r="58" ht="42" customHeight="1">
      <x:c r="A58" s="22" t="str">
        <x:v>ffpex117171694x92392plate4</x:v>
      </x:c>
      <x:c r="B58" s="22" t="str">
        <x:v>GSE115577</x:v>
      </x:c>
      <x:c r="C58" s="22" t="str">
        <x:v>GSM3183047</x:v>
      </x:c>
      <x:c r="D58" s="22" t="str">
        <x:v>FFPE X117171694 [X92_392_PLATE4]</x:v>
      </x:c>
      <x:c r="E58" s="22" t="str">
        <x:v>GSE93601</x:v>
      </x:c>
      <x:c r="F58" s="22" t="str">
        <x:v>GSM2458040</x:v>
      </x:c>
      <x:c r="G58" s="22" t="str">
        <x:v>FFPE_X117171694 [X92_392_PLATE4]</x:v>
      </x:c>
      <x:c r="H58" s="22" t="str">
        <x:v>False</x:v>
      </x:c>
      <x:c r="I58" s="22" t="str">
        <x:v>False</x:v>
      </x:c>
      <x:c r="J58" s="22" t="str">
        <x:v>False</x:v>
      </x:c>
      <x:c r="K58" s="22" t="str">
        <x:v>False</x:v>
      </x:c>
      <x:c r="L58" s="22" t="str">
        <x:v>Tumor &amp; Tumor-Adj Gene Expression in the Nurses' Health Study Cohorts</x:v>
      </x:c>
      <x:c r="M58" s="22" t="str">
        <x:v>Alcohol Consumption and Breast Tumor Gene Expression</x:v>
      </x:c>
      <x:c r="N58" s="22" t="str">
        <x:v>https://www.ncbi.nlm.nih.gov/geo/query/acc.cgi?acc=GSE115577</x:v>
      </x:c>
      <x:c r="O58" s="22" t="str">
        <x:v>https://www.ncbi.nlm.nih.gov/geo/query/acc.cgi?acc=GSE93601</x:v>
      </x:c>
      <x:c r="P58" s="22" t="str"/>
      <x:c r="Q58" s="22" t="str"/>
      <x:c r="R58" s="22" t="str">
        <x:v>OpenAI Codex structured public-record review</x:v>
      </x:c>
      <x:c r="S58" s="22" t="str">
        <x:v>57</x:v>
      </x:c>
      <x:c r="T58" s="26" t="str">
        <x:v>confirmed same patient/sample/material</x:v>
      </x:c>
      <x:c r="U58" s="26" t="str">
        <x:v>True</x:v>
      </x:c>
      <x:c r="V58" s="26" t="str">
        <x:v>Unique NHS patient/material identifier and plate label recur; tissue, age/year, cohort, and assay metadata align across the NHS reanalysis and original tumor study.</x:v>
      </x:c>
      <x:c r="W58" s="26" t="str">
        <x:v>https://www.ncbi.nlm.nih.gov/geo/query/acc.cgi?acc=GSM3183047&amp;targ=self&amp;form=text&amp;view=full; https://www.ncbi.nlm.nih.gov/geo/query/acc.cgi?acc=GSM2458040&amp;targ=self&amp;form=text&amp;view=full; https://www.ncbi.nlm.nih.gov/geo/query/acc.cgi?acc=GSE115577; https://www.ncbi.nlm.nih.gov/geo/query/acc.cgi?acc=GSE93601</x:v>
      </x:c>
      <x:c r="X58" s="27" t="str">
        <x:v>2026-09-27</x:v>
      </x:c>
      <x:c r="Y58" s="26" t="str">
        <x:v>Naol Beyene</x:v>
      </x:c>
      <x:c r="Z58" s="32" t="str">
        <x:v>Verified</x:v>
      </x:c>
      <x:c r="AA58" s="32" t="str">
        <x:v>Author manually verified the classification and cited evidence.</x:v>
      </x:c>
    </x:row>
    <x:row r="59" ht="42" customHeight="1">
      <x:c r="A59" s="22" t="str">
        <x:v>mdamb134vi</x:v>
      </x:c>
      <x:c r="B59" s="22" t="str">
        <x:v>GSE16732</x:v>
      </x:c>
      <x:c r="C59" s="22" t="str">
        <x:v>GSM419265</x:v>
      </x:c>
      <x:c r="D59" s="22" t="str">
        <x:v>MDA-MB-134VI</x:v>
      </x:c>
      <x:c r="E59" s="22" t="str">
        <x:v>GSE73526</x:v>
      </x:c>
      <x:c r="F59" s="22" t="str">
        <x:v>GSM1897323</x:v>
      </x:c>
      <x:c r="G59" s="22" t="str">
        <x:v>MDAMB134VI</x:v>
      </x:c>
      <x:c r="H59" s="22" t="str">
        <x:v>False</x:v>
      </x:c>
      <x:c r="I59" s="22" t="str">
        <x:v>False</x:v>
      </x:c>
      <x:c r="J59" s="22" t="str">
        <x:v>False</x:v>
      </x:c>
      <x:c r="K59" s="22" t="str">
        <x:v>False</x:v>
      </x:c>
      <x:c r="L59" s="22" t="str">
        <x:v>Affymetrix Gene Chip Human Exon 1.0 ST Array expression profiling of 41 human breast cancer cell lines</x:v>
      </x:c>
      <x:c r="M59" s="22" t="str">
        <x:v>The Functional Genomic Landscape of Human Breast Cancer Drivers, Vulnerabilities, and Resistance (RNASeq)</x:v>
      </x:c>
      <x:c r="N59" s="22" t="str">
        <x:v>https://www.ncbi.nlm.nih.gov/geo/query/acc.cgi?acc=GSE16732</x:v>
      </x:c>
      <x:c r="O59" s="22" t="str">
        <x:v>https://www.ncbi.nlm.nih.gov/geo/query/acc.cgi?acc=GSE73526</x:v>
      </x:c>
      <x:c r="P59" s="22" t="str"/>
      <x:c r="Q59" s="22" t="str"/>
      <x:c r="R59" s="22" t="str">
        <x:v>OpenAI Codex structured public-record review</x:v>
      </x:c>
      <x:c r="S59" s="22" t="str">
        <x:v>58</x:v>
      </x:c>
      <x:c r="T59" s="26" t="str">
        <x:v>related study/model but identity not established</x:v>
      </x:c>
      <x:c r="U59" s="26" t="str">
        <x:v>False</x:v>
      </x:c>
      <x:c r="V59" s="26" t="str">
        <x:v>The records name the same established cell-line/model, but separate studies and culture/assay metadata do not establish the same physical aliquot (source: Breast cancer cell lines | breast cancer cell line; contact countries: Netherlands | Canada).</x:v>
      </x:c>
      <x:c r="W59" s="26" t="str">
        <x:v>https://www.ncbi.nlm.nih.gov/geo/query/acc.cgi?acc=GSM419265&amp;targ=self&amp;form=text&amp;view=full; https://www.ncbi.nlm.nih.gov/geo/query/acc.cgi?acc=GSM1897323&amp;targ=self&amp;form=text&amp;view=full; https://www.ncbi.nlm.nih.gov/geo/query/acc.cgi?acc=GSE16732; https://www.ncbi.nlm.nih.gov/geo/query/acc.cgi?acc=GSE73526</x:v>
      </x:c>
      <x:c r="X59" s="27" t="str">
        <x:v>2026-09-27</x:v>
      </x:c>
      <x:c r="Y59" s="26" t="str">
        <x:v>Naol Beyene</x:v>
      </x:c>
      <x:c r="Z59" s="32" t="str">
        <x:v>Verified</x:v>
      </x:c>
      <x:c r="AA59" s="32" t="str">
        <x:v>Author manually verified the classification and cited evidence.</x:v>
      </x:c>
    </x:row>
    <x:row r="60" ht="42" customHeight="1">
      <x:c r="A60" s="22" t="str">
        <x:v>dmsorep1</x:v>
      </x:c>
      <x:c r="B60" s="22" t="str">
        <x:v>GSE120756</x:v>
      </x:c>
      <x:c r="C60" s="22" t="str">
        <x:v>GSM3414809</x:v>
      </x:c>
      <x:c r="D60" s="22" t="str">
        <x:v>DMSO_Rep1</x:v>
      </x:c>
      <x:c r="E60" s="22" t="str">
        <x:v>GSE124843</x:v>
      </x:c>
      <x:c r="F60" s="22" t="str">
        <x:v>GSM3556970</x:v>
      </x:c>
      <x:c r="G60" s="22" t="str">
        <x:v>DMSO_rep1</x:v>
      </x:c>
      <x:c r="H60" s="22" t="str">
        <x:v>False</x:v>
      </x:c>
      <x:c r="I60" s="22" t="str">
        <x:v>False</x:v>
      </x:c>
      <x:c r="J60" s="22" t="str">
        <x:v>False</x:v>
      </x:c>
      <x:c r="K60" s="22" t="str">
        <x:v>False</x:v>
      </x:c>
      <x:c r="L60" s="22" t="str">
        <x:v>TET2 coactivates gene expression through demethylation of enhancers</x:v>
      </x:c>
      <x:c r="M60" s="22" t="str">
        <x:v>Integrative transcriptomic analysis reveals mechanisms controlling the reciprocity of epithelial and mesenchymal genes during epithelial-to-mesenchymal transition</x:v>
      </x:c>
      <x:c r="N60" s="22" t="str">
        <x:v>https://www.ncbi.nlm.nih.gov/geo/query/acc.cgi?acc=GSE120756</x:v>
      </x:c>
      <x:c r="O60" s="22" t="str">
        <x:v>https://www.ncbi.nlm.nih.gov/geo/query/acc.cgi?acc=GSE124843</x:v>
      </x:c>
      <x:c r="P60" s="22" t="str"/>
      <x:c r="Q60" s="22" t="str"/>
      <x:c r="R60" s="22" t="str">
        <x:v>OpenAI Codex structured public-record review</x:v>
      </x:c>
      <x:c r="S60" s="22" t="str">
        <x:v>59</x:v>
      </x:c>
      <x:c r="T60" s="26" t="str">
        <x:v>evidence against identity</x:v>
      </x:c>
      <x:c r="U60" s="26" t="str">
        <x:v>False</x:v>
      </x:c>
      <x:c r="V60" s="26" t="str">
        <x:v>Matching short/local title conflicts with study or specimen metadata (source: MCF7 cells | MCF10A; contact countries: USA | Japan); no shared publication or BioProject establishes identity.</x:v>
      </x:c>
      <x:c r="W60" s="26" t="str">
        <x:v>https://www.ncbi.nlm.nih.gov/geo/query/acc.cgi?acc=GSM3414809&amp;targ=self&amp;form=text&amp;view=full; https://www.ncbi.nlm.nih.gov/geo/query/acc.cgi?acc=GSM3556970&amp;targ=self&amp;form=text&amp;view=full; https://www.ncbi.nlm.nih.gov/geo/query/acc.cgi?acc=GSE120756; https://www.ncbi.nlm.nih.gov/geo/query/acc.cgi?acc=GSE124843</x:v>
      </x:c>
      <x:c r="X60" s="27" t="str">
        <x:v>2026-09-27</x:v>
      </x:c>
      <x:c r="Y60" s="26" t="str">
        <x:v>Naol Beyene</x:v>
      </x:c>
      <x:c r="Z60" s="32" t="str">
        <x:v>Verified</x:v>
      </x:c>
      <x:c r="AA60" s="32" t="str">
        <x:v>Author manually verified the classification and cited evidence.</x:v>
      </x:c>
    </x:row>
    <x:row r="61" ht="42" customHeight="1">
      <x:c r="A61" s="22" t="str">
        <x:v>ffpex121291967x68938plate9</x:v>
      </x:c>
      <x:c r="B61" s="22" t="str">
        <x:v>GSE115577</x:v>
      </x:c>
      <x:c r="C61" s="22" t="str">
        <x:v>GSM3183467</x:v>
      </x:c>
      <x:c r="D61" s="22" t="str">
        <x:v>FFPE X121291967 [X68_938_plate9]</x:v>
      </x:c>
      <x:c r="E61" s="22" t="str">
        <x:v>GSE93601</x:v>
      </x:c>
      <x:c r="F61" s="22" t="str">
        <x:v>GSM2458025</x:v>
      </x:c>
      <x:c r="G61" s="22" t="str">
        <x:v>FFPE_X121291967 [X68_938_plate9]</x:v>
      </x:c>
      <x:c r="H61" s="22" t="str">
        <x:v>False</x:v>
      </x:c>
      <x:c r="I61" s="22" t="str">
        <x:v>False</x:v>
      </x:c>
      <x:c r="J61" s="22" t="str">
        <x:v>False</x:v>
      </x:c>
      <x:c r="K61" s="22" t="str">
        <x:v>False</x:v>
      </x:c>
      <x:c r="L61" s="22" t="str">
        <x:v>Tumor &amp; Tumor-Adj Gene Expression in the Nurses' Health Study Cohorts</x:v>
      </x:c>
      <x:c r="M61" s="22" t="str">
        <x:v>Alcohol Consumption and Breast Tumor Gene Expression</x:v>
      </x:c>
      <x:c r="N61" s="22" t="str">
        <x:v>https://www.ncbi.nlm.nih.gov/geo/query/acc.cgi?acc=GSE115577</x:v>
      </x:c>
      <x:c r="O61" s="22" t="str">
        <x:v>https://www.ncbi.nlm.nih.gov/geo/query/acc.cgi?acc=GSE93601</x:v>
      </x:c>
      <x:c r="P61" s="22" t="str"/>
      <x:c r="Q61" s="22" t="str"/>
      <x:c r="R61" s="22" t="str">
        <x:v>OpenAI Codex structured public-record review</x:v>
      </x:c>
      <x:c r="S61" s="22" t="str">
        <x:v>60</x:v>
      </x:c>
      <x:c r="T61" s="26" t="str">
        <x:v>confirmed same patient/sample/material</x:v>
      </x:c>
      <x:c r="U61" s="26" t="str">
        <x:v>True</x:v>
      </x:c>
      <x:c r="V61" s="26" t="str">
        <x:v>Unique NHS patient/material identifier and plate label recur; tissue, age/year, cohort, and assay metadata align across the NHS reanalysis and original tumor study.</x:v>
      </x:c>
      <x:c r="W61" s="26" t="str">
        <x:v>https://www.ncbi.nlm.nih.gov/geo/query/acc.cgi?acc=GSM3183467&amp;targ=self&amp;form=text&amp;view=full; https://www.ncbi.nlm.nih.gov/geo/query/acc.cgi?acc=GSM2458025&amp;targ=self&amp;form=text&amp;view=full; https://www.ncbi.nlm.nih.gov/geo/query/acc.cgi?acc=GSE115577; https://www.ncbi.nlm.nih.gov/geo/query/acc.cgi?acc=GSE93601</x:v>
      </x:c>
      <x:c r="X61" s="27" t="str">
        <x:v>2026-09-27</x:v>
      </x:c>
      <x:c r="Y61" s="26" t="str">
        <x:v>Naol Beyene</x:v>
      </x:c>
      <x:c r="Z61" s="32" t="str">
        <x:v>Verified</x:v>
      </x:c>
      <x:c r="AA61" s="32" t="str">
        <x:v>Author manually verified the classification and cited evidence.</x:v>
      </x:c>
    </x:row>
    <x:row r="62" ht="42" customHeight="1">
      <x:c r="A62" s="22" t="str">
        <x:v>hcc70</x:v>
      </x:c>
      <x:c r="B62" s="22" t="str">
        <x:v>GSE173634</x:v>
      </x:c>
      <x:c r="C62" s="22" t="str">
        <x:v>GSM5272813</x:v>
      </x:c>
      <x:c r="D62" s="22" t="str">
        <x:v>HCC70</x:v>
      </x:c>
      <x:c r="E62" s="22" t="str">
        <x:v>GSE87008</x:v>
      </x:c>
      <x:c r="F62" s="22" t="str">
        <x:v>GSM2318765</x:v>
      </x:c>
      <x:c r="G62" s="22" t="str">
        <x:v>HCC70</x:v>
      </x:c>
      <x:c r="H62" s="22" t="str">
        <x:v>False</x:v>
      </x:c>
      <x:c r="I62" s="22" t="str">
        <x:v>False</x:v>
      </x:c>
      <x:c r="J62" s="22" t="str">
        <x:v>False</x:v>
      </x:c>
      <x:c r="K62" s="22" t="str">
        <x:v>False</x:v>
      </x:c>
      <x:c r="L62" s="22" t="str">
        <x:v>Molecular phenotyping of breast cancer cell lines at the single-cell level for automated tumour diagnosis and prediction of drug sensitivity</x:v>
      </x:c>
      <x:c r="M62" s="22" t="str">
        <x:v>CDK4 phosphorylation status and a linked gene expression profile predict sensitivity to Palbociclib</x:v>
      </x:c>
      <x:c r="N62" s="22" t="str">
        <x:v>https://www.ncbi.nlm.nih.gov/geo/query/acc.cgi?acc=GSE173634</x:v>
      </x:c>
      <x:c r="O62" s="22" t="str">
        <x:v>https://www.ncbi.nlm.nih.gov/geo/query/acc.cgi?acc=GSE87008</x:v>
      </x:c>
      <x:c r="P62" s="22" t="str"/>
      <x:c r="Q62" s="22" t="str"/>
      <x:c r="R62" s="22" t="str">
        <x:v>OpenAI Codex structured public-record review</x:v>
      </x:c>
      <x:c r="S62" s="22" t="str">
        <x:v>61</x:v>
      </x:c>
      <x:c r="T62" s="26" t="str">
        <x:v>related study/model but identity not established</x:v>
      </x:c>
      <x:c r="U62" s="26" t="str">
        <x:v>False</x:v>
      </x:c>
      <x:c r="V62" s="26" t="str">
        <x:v>The records name the same established cell-line/model, but separate studies and culture/assay metadata do not establish the same physical aliquot (source: Immortalized Breast Cancer Cell-line | ATCC; contact countries: Italy | Belgium).</x:v>
      </x:c>
      <x:c r="W62" s="26" t="str">
        <x:v>https://www.ncbi.nlm.nih.gov/geo/query/acc.cgi?acc=GSM5272813&amp;targ=self&amp;form=text&amp;view=full; https://www.ncbi.nlm.nih.gov/geo/query/acc.cgi?acc=GSM2318765&amp;targ=self&amp;form=text&amp;view=full; https://www.ncbi.nlm.nih.gov/geo/query/acc.cgi?acc=GSE173634; https://www.ncbi.nlm.nih.gov/geo/query/acc.cgi?acc=GSE87008</x:v>
      </x:c>
      <x:c r="X62" s="27" t="str">
        <x:v>2026-09-27</x:v>
      </x:c>
      <x:c r="Y62" s="26" t="str">
        <x:v>Naol Beyene</x:v>
      </x:c>
      <x:c r="Z62" s="32" t="str">
        <x:v>Verified</x:v>
      </x:c>
      <x:c r="AA62" s="32" t="str">
        <x:v>Author manually verified the classification and cited evidence.</x:v>
      </x:c>
    </x:row>
    <x:row r="63" ht="42" customHeight="1">
      <x:c r="A63" s="22" t="str">
        <x:v>ffpex217703933x44x40plate1nhsii</x:v>
      </x:c>
      <x:c r="B63" s="22" t="str">
        <x:v>GSE115577</x:v>
      </x:c>
      <x:c r="C63" s="22" t="str">
        <x:v>GSM3183807</x:v>
      </x:c>
      <x:c r="D63" s="22" t="str">
        <x:v>FFPE X217703933 [X44_X.40_plate1NHSII]</x:v>
      </x:c>
      <x:c r="E63" s="22" t="str">
        <x:v>GSE93601</x:v>
      </x:c>
      <x:c r="F63" s="22" t="str">
        <x:v>GSM2458218</x:v>
      </x:c>
      <x:c r="G63" s="22" t="str">
        <x:v>FFPE_X217703933 [X44_X.40_plate1NHSII]</x:v>
      </x:c>
      <x:c r="H63" s="22" t="str">
        <x:v>False</x:v>
      </x:c>
      <x:c r="I63" s="22" t="str">
        <x:v>False</x:v>
      </x:c>
      <x:c r="J63" s="22" t="str">
        <x:v>False</x:v>
      </x:c>
      <x:c r="K63" s="22" t="str">
        <x:v>False</x:v>
      </x:c>
      <x:c r="L63" s="22" t="str">
        <x:v>Tumor &amp; Tumor-Adj Gene Expression in the Nurses' Health Study Cohorts</x:v>
      </x:c>
      <x:c r="M63" s="22" t="str">
        <x:v>Alcohol Consumption and Breast Tumor Gene Expression</x:v>
      </x:c>
      <x:c r="N63" s="22" t="str">
        <x:v>https://www.ncbi.nlm.nih.gov/geo/query/acc.cgi?acc=GSE115577</x:v>
      </x:c>
      <x:c r="O63" s="22" t="str">
        <x:v>https://www.ncbi.nlm.nih.gov/geo/query/acc.cgi?acc=GSE93601</x:v>
      </x:c>
      <x:c r="P63" s="22" t="str"/>
      <x:c r="Q63" s="22" t="str"/>
      <x:c r="R63" s="22" t="str">
        <x:v>OpenAI Codex structured public-record review</x:v>
      </x:c>
      <x:c r="S63" s="22" t="str">
        <x:v>62</x:v>
      </x:c>
      <x:c r="T63" s="26" t="str">
        <x:v>confirmed same patient/sample/material</x:v>
      </x:c>
      <x:c r="U63" s="26" t="str">
        <x:v>True</x:v>
      </x:c>
      <x:c r="V63" s="26" t="str">
        <x:v>Unique NHS patient/material identifier and plate label recur; tissue, age/year, cohort, and assay metadata align across the NHS reanalysis and original tumor study.</x:v>
      </x:c>
      <x:c r="W63" s="26" t="str">
        <x:v>https://www.ncbi.nlm.nih.gov/geo/query/acc.cgi?acc=GSM3183807&amp;targ=self&amp;form=text&amp;view=full; https://www.ncbi.nlm.nih.gov/geo/query/acc.cgi?acc=GSM2458218&amp;targ=self&amp;form=text&amp;view=full; https://www.ncbi.nlm.nih.gov/geo/query/acc.cgi?acc=GSE115577; https://www.ncbi.nlm.nih.gov/geo/query/acc.cgi?acc=GSE93601</x:v>
      </x:c>
      <x:c r="X63" s="27" t="str">
        <x:v>2026-09-27</x:v>
      </x:c>
      <x:c r="Y63" s="26" t="str">
        <x:v>Naol Beyene</x:v>
      </x:c>
      <x:c r="Z63" s="32" t="str">
        <x:v>Verified</x:v>
      </x:c>
      <x:c r="AA63" s="32" t="str">
        <x:v>Author manually verified the classification and cited evidence.</x:v>
      </x:c>
    </x:row>
    <x:row r="64" ht="42" customHeight="1">
      <x:c r="A64" s="22" t="str">
        <x:v>controlrep4</x:v>
      </x:c>
      <x:c r="B64" s="22" t="str">
        <x:v>GSE19295</x:v>
      </x:c>
      <x:c r="C64" s="22" t="str">
        <x:v>GSM478980</x:v>
      </x:c>
      <x:c r="D64" s="22" t="str">
        <x:v>Control_rep4</x:v>
      </x:c>
      <x:c r="E64" s="22" t="str">
        <x:v>GSE51403</x:v>
      </x:c>
      <x:c r="F64" s="22" t="str">
        <x:v>GSM1244819</x:v>
      </x:c>
      <x:c r="G64" s="22" t="str">
        <x:v>Control_Rep4</x:v>
      </x:c>
      <x:c r="H64" s="22" t="str">
        <x:v>False</x:v>
      </x:c>
      <x:c r="I64" s="22" t="str">
        <x:v>False</x:v>
      </x:c>
      <x:c r="J64" s="22" t="str">
        <x:v>False</x:v>
      </x:c>
      <x:c r="K64" s="22" t="str">
        <x:v>False</x:v>
      </x:c>
      <x:c r="L64" s="22" t="str">
        <x:v>HER2 and EGFR dependent activation of RalA in breast cancer</x:v>
      </x:c>
      <x:c r="M64" s="22" t="str">
        <x:v>RNA-seq differential expression studies: more sequence, or more replication?</x:v>
      </x:c>
      <x:c r="N64" s="22" t="str">
        <x:v>https://www.ncbi.nlm.nih.gov/geo/query/acc.cgi?acc=GSE19295</x:v>
      </x:c>
      <x:c r="O64" s="22" t="str">
        <x:v>https://www.ncbi.nlm.nih.gov/geo/query/acc.cgi?acc=GSE51403</x:v>
      </x:c>
      <x:c r="P64" s="22" t="str"/>
      <x:c r="Q64" s="22" t="str"/>
      <x:c r="R64" s="22" t="str">
        <x:v>OpenAI Codex structured public-record review</x:v>
      </x:c>
      <x:c r="S64" s="22" t="str">
        <x:v>63</x:v>
      </x:c>
      <x:c r="T64" s="26" t="str">
        <x:v>evidence against identity</x:v>
      </x:c>
      <x:c r="U64" s="26" t="str">
        <x:v>False</x:v>
      </x:c>
      <x:c r="V64" s="26" t="str">
        <x:v>Matching short/local title conflicts with study or specimen metadata (source: Empty vector control | MCF7 cell line; contact countries: USA | USA); no shared publication or BioProject establishes identity.</x:v>
      </x:c>
      <x:c r="W64" s="26" t="str">
        <x:v>https://www.ncbi.nlm.nih.gov/geo/query/acc.cgi?acc=GSM478980&amp;targ=self&amp;form=text&amp;view=full; https://www.ncbi.nlm.nih.gov/geo/query/acc.cgi?acc=GSM1244819&amp;targ=self&amp;form=text&amp;view=full; https://www.ncbi.nlm.nih.gov/geo/query/acc.cgi?acc=GSE19295; https://www.ncbi.nlm.nih.gov/geo/query/acc.cgi?acc=GSE51403</x:v>
      </x:c>
      <x:c r="X64" s="27" t="str">
        <x:v>2026-09-27</x:v>
      </x:c>
      <x:c r="Y64" s="26" t="str">
        <x:v>Naol Beyene</x:v>
      </x:c>
      <x:c r="Z64" s="32" t="str">
        <x:v>Verified</x:v>
      </x:c>
      <x:c r="AA64" s="32" t="str">
        <x:v>Author manually verified the classification and cited evidence.</x:v>
      </x:c>
    </x:row>
    <x:row r="65" ht="42" customHeight="1">
      <x:c r="A65" s="22" t="str">
        <x:v>sum185pe</x:v>
      </x:c>
      <x:c r="B65" s="22" t="str">
        <x:v>GSE16795</x:v>
      </x:c>
      <x:c r="C65" s="22" t="str">
        <x:v>GSM421891</x:v>
      </x:c>
      <x:c r="D65" s="22" t="str">
        <x:v>SUM185PE</x:v>
      </x:c>
      <x:c r="E65" s="22" t="str">
        <x:v>GSE228382</x:v>
      </x:c>
      <x:c r="F65" s="22" t="str">
        <x:v>GSM7118112</x:v>
      </x:c>
      <x:c r="G65" s="22" t="str">
        <x:v>SUM185PE</x:v>
      </x:c>
      <x:c r="H65" s="22" t="str">
        <x:v>False</x:v>
      </x:c>
      <x:c r="I65" s="22" t="str">
        <x:v>False</x:v>
      </x:c>
      <x:c r="J65" s="22" t="str">
        <x:v>False</x:v>
      </x:c>
      <x:c r="K65" s="22" t="str">
        <x:v>False</x:v>
      </x:c>
      <x:c r="L65" s="22" t="str">
        <x:v>Affymetrix HG-U133A gene expression profiles of 39 human breast cancer cell lines</x:v>
      </x:c>
      <x:c r="M65" s="22" t="str">
        <x:v>Single cell lineage tracing reveals clonal dynamics of anti-EGFR therapy resistance in triple negative breast cancer.</x:v>
      </x:c>
      <x:c r="N65" s="22" t="str">
        <x:v>https://www.ncbi.nlm.nih.gov/geo/query/acc.cgi?acc=GSE16795</x:v>
      </x:c>
      <x:c r="O65" s="22" t="str">
        <x:v>https://www.ncbi.nlm.nih.gov/geo/query/acc.cgi?acc=GSE228382</x:v>
      </x:c>
      <x:c r="P65" s="22" t="str"/>
      <x:c r="Q65" s="22" t="str"/>
      <x:c r="R65" s="22" t="str">
        <x:v>OpenAI Codex structured public-record review</x:v>
      </x:c>
      <x:c r="S65" s="22" t="str">
        <x:v>64</x:v>
      </x:c>
      <x:c r="T65" s="26" t="str">
        <x:v>related study/model but identity not established</x:v>
      </x:c>
      <x:c r="U65" s="26" t="str">
        <x:v>False</x:v>
      </x:c>
      <x:c r="V65" s="26" t="str">
        <x:v>The records name the same established cell-line/model, but separate studies and culture/assay metadata do not establish the same physical aliquot (source: breast cancer cell line | Breast; contact countries: Netherlands | Italy).</x:v>
      </x:c>
      <x:c r="W65" s="26" t="str">
        <x:v>https://www.ncbi.nlm.nih.gov/geo/query/acc.cgi?acc=GSM421891&amp;targ=self&amp;form=text&amp;view=full; https://www.ncbi.nlm.nih.gov/geo/query/acc.cgi?acc=GSM7118112&amp;targ=self&amp;form=text&amp;view=full; https://www.ncbi.nlm.nih.gov/geo/query/acc.cgi?acc=GSE16795; https://www.ncbi.nlm.nih.gov/geo/query/acc.cgi?acc=GSE228382</x:v>
      </x:c>
      <x:c r="X65" s="27" t="str">
        <x:v>2026-09-27</x:v>
      </x:c>
      <x:c r="Y65" s="26" t="str">
        <x:v>Naol Beyene</x:v>
      </x:c>
      <x:c r="Z65" s="32" t="str">
        <x:v>Verified</x:v>
      </x:c>
      <x:c r="AA65" s="32" t="str">
        <x:v>Author manually verified the classification and cited evidence.</x:v>
      </x:c>
    </x:row>
    <x:row r="66" ht="42" customHeight="1">
      <x:c r="A66" s="22" t="str">
        <x:v>bt20</x:v>
      </x:c>
      <x:c r="B66" s="22" t="str">
        <x:v>GSE24578</x:v>
      </x:c>
      <x:c r="C66" s="22" t="str">
        <x:v>GSM605913</x:v>
      </x:c>
      <x:c r="D66" s="22" t="str">
        <x:v>BT20</x:v>
      </x:c>
      <x:c r="E66" s="22" t="str">
        <x:v>GSE87008</x:v>
      </x:c>
      <x:c r="F66" s="22" t="str">
        <x:v>GSM2318755</x:v>
      </x:c>
      <x:c r="G66" s="22" t="str">
        <x:v>BT20</x:v>
      </x:c>
      <x:c r="H66" s="22" t="str">
        <x:v>False</x:v>
      </x:c>
      <x:c r="I66" s="22" t="str">
        <x:v>False</x:v>
      </x:c>
      <x:c r="J66" s="22" t="str">
        <x:v>False</x:v>
      </x:c>
      <x:c r="K66" s="22" t="str">
        <x:v>False</x:v>
      </x:c>
      <x:c r="L66" s="22" t="str">
        <x:v>Basal gene expression of breast cancer cell lines</x:v>
      </x:c>
      <x:c r="M66" s="22" t="str">
        <x:v>CDK4 phosphorylation status and a linked gene expression profile predict sensitivity to Palbociclib</x:v>
      </x:c>
      <x:c r="N66" s="22" t="str">
        <x:v>https://www.ncbi.nlm.nih.gov/geo/query/acc.cgi?acc=GSE24578</x:v>
      </x:c>
      <x:c r="O66" s="22" t="str">
        <x:v>https://www.ncbi.nlm.nih.gov/geo/query/acc.cgi?acc=GSE87008</x:v>
      </x:c>
      <x:c r="P66" s="22" t="str"/>
      <x:c r="Q66" s="22" t="str"/>
      <x:c r="R66" s="22" t="str">
        <x:v>OpenAI Codex structured public-record review</x:v>
      </x:c>
      <x:c r="S66" s="22" t="str">
        <x:v>65</x:v>
      </x:c>
      <x:c r="T66" s="26" t="str">
        <x:v>related study/model but identity not established</x:v>
      </x:c>
      <x:c r="U66" s="26" t="str">
        <x:v>False</x:v>
      </x:c>
      <x:c r="V66" s="26" t="str">
        <x:v>The records name the same established cell-line/model, but separate studies and culture/assay metadata do not establish the same physical aliquot (source: Cultured cell line | ATCC; contact countries: USA | Belgium).</x:v>
      </x:c>
      <x:c r="W66" s="26" t="str">
        <x:v>https://www.ncbi.nlm.nih.gov/geo/query/acc.cgi?acc=GSM605913&amp;targ=self&amp;form=text&amp;view=full; https://www.ncbi.nlm.nih.gov/geo/query/acc.cgi?acc=GSM2318755&amp;targ=self&amp;form=text&amp;view=full; https://www.ncbi.nlm.nih.gov/geo/query/acc.cgi?acc=GSE24578; https://www.ncbi.nlm.nih.gov/geo/query/acc.cgi?acc=GSE87008</x:v>
      </x:c>
      <x:c r="X66" s="27" t="str">
        <x:v>2026-09-27</x:v>
      </x:c>
      <x:c r="Y66" s="26" t="str">
        <x:v>Naol Beyene</x:v>
      </x:c>
      <x:c r="Z66" s="32" t="str">
        <x:v>Verified</x:v>
      </x:c>
      <x:c r="AA66" s="32" t="str">
        <x:v>Author manually verified the classification and cited evidence.</x:v>
      </x:c>
    </x:row>
    <x:row r="67" ht="42" customHeight="1">
      <x:c r="A67" s="22" t="str">
        <x:v>ffpex213188375x74x244nhsiiplate3</x:v>
      </x:c>
      <x:c r="B67" s="22" t="str">
        <x:v>GSE115577</x:v>
      </x:c>
      <x:c r="C67" s="22" t="str">
        <x:v>GSM3183652</x:v>
      </x:c>
      <x:c r="D67" s="22" t="str">
        <x:v>FFPE X213188375 [X74_X.244_NHSIIplate3]</x:v>
      </x:c>
      <x:c r="E67" s="22" t="str">
        <x:v>GSE93601</x:v>
      </x:c>
      <x:c r="F67" s="22" t="str">
        <x:v>GSM2458349</x:v>
      </x:c>
      <x:c r="G67" s="22" t="str">
        <x:v>FFPE_X213188375 [X74_X.244_NHSIIplate3]</x:v>
      </x:c>
      <x:c r="H67" s="22" t="str">
        <x:v>False</x:v>
      </x:c>
      <x:c r="I67" s="22" t="str">
        <x:v>False</x:v>
      </x:c>
      <x:c r="J67" s="22" t="str">
        <x:v>False</x:v>
      </x:c>
      <x:c r="K67" s="22" t="str">
        <x:v>False</x:v>
      </x:c>
      <x:c r="L67" s="22" t="str">
        <x:v>Tumor &amp; Tumor-Adj Gene Expression in the Nurses' Health Study Cohorts</x:v>
      </x:c>
      <x:c r="M67" s="22" t="str">
        <x:v>Alcohol Consumption and Breast Tumor Gene Expression</x:v>
      </x:c>
      <x:c r="N67" s="22" t="str">
        <x:v>https://www.ncbi.nlm.nih.gov/geo/query/acc.cgi?acc=GSE115577</x:v>
      </x:c>
      <x:c r="O67" s="22" t="str">
        <x:v>https://www.ncbi.nlm.nih.gov/geo/query/acc.cgi?acc=GSE93601</x:v>
      </x:c>
      <x:c r="P67" s="22" t="str"/>
      <x:c r="Q67" s="22" t="str"/>
      <x:c r="R67" s="22" t="str">
        <x:v>OpenAI Codex structured public-record review</x:v>
      </x:c>
      <x:c r="S67" s="22" t="str">
        <x:v>66</x:v>
      </x:c>
      <x:c r="T67" s="26" t="str">
        <x:v>confirmed same patient/sample/material</x:v>
      </x:c>
      <x:c r="U67" s="26" t="str">
        <x:v>True</x:v>
      </x:c>
      <x:c r="V67" s="26" t="str">
        <x:v>Unique NHS patient/material identifier and plate label recur; tissue, age/year, cohort, and assay metadata align across the NHS reanalysis and original tumor study.</x:v>
      </x:c>
      <x:c r="W67" s="26" t="str">
        <x:v>https://www.ncbi.nlm.nih.gov/geo/query/acc.cgi?acc=GSM3183652&amp;targ=self&amp;form=text&amp;view=full; https://www.ncbi.nlm.nih.gov/geo/query/acc.cgi?acc=GSM2458349&amp;targ=self&amp;form=text&amp;view=full; https://www.ncbi.nlm.nih.gov/geo/query/acc.cgi?acc=GSE115577; https://www.ncbi.nlm.nih.gov/geo/query/acc.cgi?acc=GSE93601</x:v>
      </x:c>
      <x:c r="X67" s="27" t="str">
        <x:v>2026-09-27</x:v>
      </x:c>
      <x:c r="Y67" s="26" t="str">
        <x:v>Naol Beyene</x:v>
      </x:c>
      <x:c r="Z67" s="32" t="str">
        <x:v>Verified</x:v>
      </x:c>
      <x:c r="AA67" s="32" t="str">
        <x:v>Author manually verified the classification and cited evidence.</x:v>
      </x:c>
    </x:row>
    <x:row r="68" ht="42" customHeight="1">
      <x:c r="A68" s="22" t="str">
        <x:v>ffpex211092212x73x69plate1nhsii</x:v>
      </x:c>
      <x:c r="B68" s="22" t="str">
        <x:v>GSE115577</x:v>
      </x:c>
      <x:c r="C68" s="22" t="str">
        <x:v>GSM3183853</x:v>
      </x:c>
      <x:c r="D68" s="22" t="str">
        <x:v>FFPE X211092212 [X73_X.69_plate1NHSII]</x:v>
      </x:c>
      <x:c r="E68" s="22" t="str">
        <x:v>GSE93601</x:v>
      </x:c>
      <x:c r="F68" s="22" t="str">
        <x:v>GSM2458274</x:v>
      </x:c>
      <x:c r="G68" s="22" t="str">
        <x:v>FFPE_X211092212 [X73_X.69_plate1NHSII]</x:v>
      </x:c>
      <x:c r="H68" s="22" t="str">
        <x:v>False</x:v>
      </x:c>
      <x:c r="I68" s="22" t="str">
        <x:v>False</x:v>
      </x:c>
      <x:c r="J68" s="22" t="str">
        <x:v>False</x:v>
      </x:c>
      <x:c r="K68" s="22" t="str">
        <x:v>False</x:v>
      </x:c>
      <x:c r="L68" s="22" t="str">
        <x:v>Tumor &amp; Tumor-Adj Gene Expression in the Nurses' Health Study Cohorts</x:v>
      </x:c>
      <x:c r="M68" s="22" t="str">
        <x:v>Alcohol Consumption and Breast Tumor Gene Expression</x:v>
      </x:c>
      <x:c r="N68" s="22" t="str">
        <x:v>https://www.ncbi.nlm.nih.gov/geo/query/acc.cgi?acc=GSE115577</x:v>
      </x:c>
      <x:c r="O68" s="22" t="str">
        <x:v>https://www.ncbi.nlm.nih.gov/geo/query/acc.cgi?acc=GSE93601</x:v>
      </x:c>
      <x:c r="P68" s="22" t="str"/>
      <x:c r="Q68" s="22" t="str"/>
      <x:c r="R68" s="22" t="str">
        <x:v>OpenAI Codex structured public-record review</x:v>
      </x:c>
      <x:c r="S68" s="22" t="str">
        <x:v>67</x:v>
      </x:c>
      <x:c r="T68" s="26" t="str">
        <x:v>confirmed same patient/sample/material</x:v>
      </x:c>
      <x:c r="U68" s="26" t="str">
        <x:v>True</x:v>
      </x:c>
      <x:c r="V68" s="26" t="str">
        <x:v>Unique NHS patient/material identifier and plate label recur; tissue, age/year, cohort, and assay metadata align across the NHS reanalysis and original tumor study.</x:v>
      </x:c>
      <x:c r="W68" s="26" t="str">
        <x:v>https://www.ncbi.nlm.nih.gov/geo/query/acc.cgi?acc=GSM3183853&amp;targ=self&amp;form=text&amp;view=full; https://www.ncbi.nlm.nih.gov/geo/query/acc.cgi?acc=GSM2458274&amp;targ=self&amp;form=text&amp;view=full; https://www.ncbi.nlm.nih.gov/geo/query/acc.cgi?acc=GSE115577; https://www.ncbi.nlm.nih.gov/geo/query/acc.cgi?acc=GSE93601</x:v>
      </x:c>
      <x:c r="X68" s="27" t="str">
        <x:v>2026-09-27</x:v>
      </x:c>
      <x:c r="Y68" s="26" t="str">
        <x:v>Naol Beyene</x:v>
      </x:c>
      <x:c r="Z68" s="32" t="str">
        <x:v>Verified</x:v>
      </x:c>
      <x:c r="AA68" s="32" t="str">
        <x:v>Author manually verified the classification and cited evidence.</x:v>
      </x:c>
    </x:row>
    <x:row r="69" ht="42" customHeight="1">
      <x:c r="A69" s="22" t="str">
        <x:v>bt474</x:v>
      </x:c>
      <x:c r="B69" s="22" t="str">
        <x:v>GSE173634</x:v>
      </x:c>
      <x:c r="C69" s="22" t="str">
        <x:v>GSM5272798</x:v>
      </x:c>
      <x:c r="D69" s="22" t="str">
        <x:v>BT474</x:v>
      </x:c>
      <x:c r="E69" s="22" t="str">
        <x:v>GSE87006</x:v>
      </x:c>
      <x:c r="F69" s="22" t="str">
        <x:v>GSM2318756</x:v>
      </x:c>
      <x:c r="G69" s="22" t="str">
        <x:v>BT474</x:v>
      </x:c>
      <x:c r="H69" s="22" t="str">
        <x:v>False</x:v>
      </x:c>
      <x:c r="I69" s="22" t="str">
        <x:v>False</x:v>
      </x:c>
      <x:c r="J69" s="22" t="str">
        <x:v>False</x:v>
      </x:c>
      <x:c r="K69" s="22" t="str">
        <x:v>False</x:v>
      </x:c>
      <x:c r="L69" s="22" t="str">
        <x:v>Molecular phenotyping of breast cancer cell lines at the single-cell level for automated tumour diagnosis and prediction of drug sensitivity</x:v>
      </x:c>
      <x:c r="M69" s="22" t="str">
        <x:v>CDK4 phosphorylation status and a linked gene expression profile predict sensitivity to Palbociclib [lines]</x:v>
      </x:c>
      <x:c r="N69" s="22" t="str">
        <x:v>https://www.ncbi.nlm.nih.gov/geo/query/acc.cgi?acc=GSE173634</x:v>
      </x:c>
      <x:c r="O69" s="22" t="str">
        <x:v>https://www.ncbi.nlm.nih.gov/geo/query/acc.cgi?acc=GSE87006</x:v>
      </x:c>
      <x:c r="P69" s="22" t="str"/>
      <x:c r="Q69" s="22" t="str"/>
      <x:c r="R69" s="22" t="str">
        <x:v>OpenAI Codex structured public-record review</x:v>
      </x:c>
      <x:c r="S69" s="22" t="str">
        <x:v>68</x:v>
      </x:c>
      <x:c r="T69" s="26" t="str">
        <x:v>related study/model but identity not established</x:v>
      </x:c>
      <x:c r="U69" s="26" t="str">
        <x:v>False</x:v>
      </x:c>
      <x:c r="V69" s="26" t="str">
        <x:v>The records name the same established cell-line/model, but separate studies and culture/assay metadata do not establish the same physical aliquot (source: Immortalized Breast Cancer Cell-line | ATCC; contact countries: Italy | Belgium).</x:v>
      </x:c>
      <x:c r="W69" s="26" t="str">
        <x:v>https://www.ncbi.nlm.nih.gov/geo/query/acc.cgi?acc=GSM5272798&amp;targ=self&amp;form=text&amp;view=full; https://www.ncbi.nlm.nih.gov/geo/query/acc.cgi?acc=GSM2318756&amp;targ=self&amp;form=text&amp;view=full; https://www.ncbi.nlm.nih.gov/geo/query/acc.cgi?acc=GSE173634; https://www.ncbi.nlm.nih.gov/geo/query/acc.cgi?acc=GSE87006</x:v>
      </x:c>
      <x:c r="X69" s="27" t="str">
        <x:v>2026-09-27</x:v>
      </x:c>
      <x:c r="Y69" s="26" t="str">
        <x:v>Naol Beyene</x:v>
      </x:c>
      <x:c r="Z69" s="32" t="str">
        <x:v>Verified</x:v>
      </x:c>
      <x:c r="AA69" s="32" t="str">
        <x:v>Author manually verified the classification and cited evidence.</x:v>
      </x:c>
    </x:row>
    <x:row r="70" ht="42" customHeight="1">
      <x:c r="A70" s="22" t="str">
        <x:v>bp51</x:v>
      </x:c>
      <x:c r="B70" s="22" t="str">
        <x:v>GSE173661</x:v>
      </x:c>
      <x:c r="C70" s="22" t="str">
        <x:v>GSM5273274</x:v>
      </x:c>
      <x:c r="D70" s="22" t="str">
        <x:v>BP51</x:v>
      </x:c>
      <x:c r="E70" s="22" t="str">
        <x:v>GSE86948</x:v>
      </x:c>
      <x:c r="F70" s="22" t="str">
        <x:v>GSM2310641</x:v>
      </x:c>
      <x:c r="G70" s="22" t="str">
        <x:v>BP51</x:v>
      </x:c>
      <x:c r="H70" s="22" t="str">
        <x:v>False</x:v>
      </x:c>
      <x:c r="I70" s="22" t="str">
        <x:v>False</x:v>
      </x:c>
      <x:c r="J70" s="22" t="str">
        <x:v>False</x:v>
      </x:c>
      <x:c r="K70" s="22" t="str">
        <x:v>False</x:v>
      </x:c>
      <x:c r="L70" s="22" t="str">
        <x:v>Investigating the altered brain metastatic transcriptome in breast cancer</x:v>
      </x:c>
      <x:c r="M70" s="22" t="str">
        <x:v>A microRNA signature identifies four subtypes of triple-negative breast cancer and correlates miR-342-3p as a regulator of the lactate metabolic pathway through silencing the monocarboxylate transporter 1</x:v>
      </x:c>
      <x:c r="N70" s="22" t="str">
        <x:v>https://www.ncbi.nlm.nih.gov/geo/query/acc.cgi?acc=GSE173661</x:v>
      </x:c>
      <x:c r="O70" s="22" t="str">
        <x:v>https://www.ncbi.nlm.nih.gov/geo/query/acc.cgi?acc=GSE86948</x:v>
      </x:c>
      <x:c r="P70" s="22" t="str"/>
      <x:c r="Q70" s="22" t="str"/>
      <x:c r="R70" s="22" t="str">
        <x:v>OpenAI Codex structured public-record review</x:v>
      </x:c>
      <x:c r="S70" s="22" t="str">
        <x:v>69</x:v>
      </x:c>
      <x:c r="T70" s="26" t="str">
        <x:v>evidence against identity</x:v>
      </x:c>
      <x:c r="U70" s="26" t="str">
        <x:v>False</x:v>
      </x:c>
      <x:c r="V70" s="26" t="str">
        <x:v>Matching short/local title conflicts with study or specimen metadata (source: Primary Breast Tumor | FFPE breast cancer tumor; contact countries: Ireland | Mexico); no shared publication or BioProject establishes identity.</x:v>
      </x:c>
      <x:c r="W70" s="26" t="str">
        <x:v>https://www.ncbi.nlm.nih.gov/geo/query/acc.cgi?acc=GSM5273274&amp;targ=self&amp;form=text&amp;view=full; https://www.ncbi.nlm.nih.gov/geo/query/acc.cgi?acc=GSM2310641&amp;targ=self&amp;form=text&amp;view=full; https://www.ncbi.nlm.nih.gov/geo/query/acc.cgi?acc=GSE173661; https://www.ncbi.nlm.nih.gov/geo/query/acc.cgi?acc=GSE86948</x:v>
      </x:c>
      <x:c r="X70" s="27" t="str">
        <x:v>2026-09-27</x:v>
      </x:c>
      <x:c r="Y70" s="26" t="str">
        <x:v>Naol Beyene</x:v>
      </x:c>
      <x:c r="Z70" s="32" t="str">
        <x:v>Verified</x:v>
      </x:c>
      <x:c r="AA70" s="32" t="str">
        <x:v>Author manually verified the classification and cited evidence.</x:v>
      </x:c>
    </x:row>
    <x:row r="71" ht="42" customHeight="1">
      <x:c r="A71" s="22" t="str">
        <x:v>hcc1954cellline</x:v>
      </x:c>
      <x:c r="B71" s="22" t="str">
        <x:v>GSE41119</x:v>
      </x:c>
      <x:c r="C71" s="22" t="str">
        <x:v>GSM1008901</x:v>
      </x:c>
      <x:c r="D71" s="22" t="str">
        <x:v>HCC1954 cellline</x:v>
      </x:c>
      <x:c r="E71" s="22" t="str">
        <x:v>GSE50470</x:v>
      </x:c>
      <x:c r="F71" s="22" t="str">
        <x:v>GSM1215272</x:v>
      </x:c>
      <x:c r="G71" s="22" t="str">
        <x:v>HCC1954 cell_line</x:v>
      </x:c>
      <x:c r="H71" s="22" t="str">
        <x:v>False</x:v>
      </x:c>
      <x:c r="I71" s="22" t="str">
        <x:v>False</x:v>
      </x:c>
      <x:c r="J71" s="22" t="str">
        <x:v>False</x:v>
      </x:c>
      <x:c r="K71" s="22" t="str">
        <x:v>False</x:v>
      </x:c>
      <x:c r="L71" s="22" t="str">
        <x:v>Molecular Characterization of Basal-like and Non-Basal-like Triple-Negative Breast Cancers</x:v>
      </x:c>
      <x:c r="M71" s="22" t="str">
        <x:v>Characterization of Cell Lines Derived from Breast Cancers and Normal Mammary Tissues for the Study of the Intrinsic Molecular Subtypes</x:v>
      </x:c>
      <x:c r="N71" s="22" t="str">
        <x:v>https://www.ncbi.nlm.nih.gov/geo/query/acc.cgi?acc=GSE41119</x:v>
      </x:c>
      <x:c r="O71" s="22" t="str">
        <x:v>https://www.ncbi.nlm.nih.gov/geo/query/acc.cgi?acc=GSE50470</x:v>
      </x:c>
      <x:c r="P71" s="22" t="str"/>
      <x:c r="Q71" s="22" t="str"/>
      <x:c r="R71" s="22" t="str">
        <x:v>OpenAI Codex structured public-record review</x:v>
      </x:c>
      <x:c r="S71" s="22" t="str">
        <x:v>70</x:v>
      </x:c>
      <x:c r="T71" s="26" t="str">
        <x:v>indeterminate</x:v>
      </x:c>
      <x:c r="U71" s="26" t="str">
        <x:v>False</x:v>
      </x:c>
      <x:c r="V71" s="26" t="str">
        <x:v>Both records involve whole-human reference RNA under a cell-line title, but no lot or aliquot identifier resolves whether the reference material was identical (source: Human Reference | Human Reference).</x:v>
      </x:c>
      <x:c r="W71" s="26" t="str">
        <x:v>https://www.ncbi.nlm.nih.gov/geo/query/acc.cgi?acc=GSM1008901&amp;targ=self&amp;form=text&amp;view=full; https://www.ncbi.nlm.nih.gov/geo/query/acc.cgi?acc=GSM1215272&amp;targ=self&amp;form=text&amp;view=full; https://www.ncbi.nlm.nih.gov/geo/query/acc.cgi?acc=GSE41119; https://www.ncbi.nlm.nih.gov/geo/query/acc.cgi?acc=GSE50470</x:v>
      </x:c>
      <x:c r="X71" s="27" t="str">
        <x:v>2026-09-27</x:v>
      </x:c>
      <x:c r="Y71" s="26" t="str">
        <x:v>Naol Beyene</x:v>
      </x:c>
      <x:c r="Z71" s="32" t="str">
        <x:v>Verified</x:v>
      </x:c>
      <x:c r="AA71" s="32" t="str">
        <x:v>Author manually verified the classification and cited evidence.</x:v>
      </x:c>
    </x:row>
    <x:row r="72" ht="42" customHeight="1">
      <x:c r="A72" s="22" t="str">
        <x:v>tn23</x:v>
      </x:c>
      <x:c r="B72" s="22" t="str">
        <x:v>GSE43358</x:v>
      </x:c>
      <x:c r="C72" s="22" t="str">
        <x:v>GSM1060960</x:v>
      </x:c>
      <x:c r="D72" s="22" t="str">
        <x:v>TN-23</x:v>
      </x:c>
      <x:c r="E72" s="22" t="str">
        <x:v>GSE46581</x:v>
      </x:c>
      <x:c r="F72" s="22" t="str">
        <x:v>GSM1132787</x:v>
      </x:c>
      <x:c r="G72" s="22" t="str">
        <x:v>TN23</x:v>
      </x:c>
      <x:c r="H72" s="22" t="str">
        <x:v>False</x:v>
      </x:c>
      <x:c r="I72" s="22" t="str">
        <x:v>False</x:v>
      </x:c>
      <x:c r="J72" s="22" t="str">
        <x:v>False</x:v>
      </x:c>
      <x:c r="K72" s="22" t="str">
        <x:v>False</x:v>
      </x:c>
      <x:c r="L72" s="22" t="str">
        <x:v>Transfer of clinically relevant gene expression signatures in breast cancer: from Affymetrix microarray to Illumina RNA-Sequencing technology</x:v>
      </x:c>
      <x:c r="M72" s="22" t="str">
        <x:v>Yale Triple Negative Breast Cancer Cohort</x:v>
      </x:c>
      <x:c r="N72" s="22" t="str">
        <x:v>https://www.ncbi.nlm.nih.gov/geo/query/acc.cgi?acc=GSE43358</x:v>
      </x:c>
      <x:c r="O72" s="22" t="str">
        <x:v>https://www.ncbi.nlm.nih.gov/geo/query/acc.cgi?acc=GSE46581</x:v>
      </x:c>
      <x:c r="P72" s="22" t="str"/>
      <x:c r="Q72" s="22" t="str"/>
      <x:c r="R72" s="22" t="str">
        <x:v>OpenAI Codex structured public-record review</x:v>
      </x:c>
      <x:c r="S72" s="22" t="str">
        <x:v>71</x:v>
      </x:c>
      <x:c r="T72" s="26" t="str">
        <x:v>evidence against identity</x:v>
      </x:c>
      <x:c r="U72" s="26" t="str">
        <x:v>False</x:v>
      </x:c>
      <x:c r="V72" s="26" t="str">
        <x:v>Matching short/local title conflicts with study or specimen metadata (source: Breast tumor | FFPE core from TNBC patient 216; contact countries: Belgium | Germany); no shared publication or BioProject establishes identity.</x:v>
      </x:c>
      <x:c r="W72" s="26" t="str">
        <x:v>https://www.ncbi.nlm.nih.gov/geo/query/acc.cgi?acc=GSM1060960&amp;targ=self&amp;form=text&amp;view=full; https://www.ncbi.nlm.nih.gov/geo/query/acc.cgi?acc=GSM1132787&amp;targ=self&amp;form=text&amp;view=full; https://www.ncbi.nlm.nih.gov/geo/query/acc.cgi?acc=GSE43358; https://www.ncbi.nlm.nih.gov/geo/query/acc.cgi?acc=GSE46581</x:v>
      </x:c>
      <x:c r="X72" s="27" t="str">
        <x:v>2026-09-27</x:v>
      </x:c>
      <x:c r="Y72" s="26" t="str">
        <x:v>Naol Beyene</x:v>
      </x:c>
      <x:c r="Z72" s="32" t="str">
        <x:v>Verified</x:v>
      </x:c>
      <x:c r="AA72" s="32" t="str">
        <x:v>Author manually verified the classification and cited evidence.</x:v>
      </x:c>
    </x:row>
    <x:row r="73" ht="42" customHeight="1">
      <x:c r="A73" s="22" t="str">
        <x:v>t149</x:v>
      </x:c>
      <x:c r="B73" s="22" t="str">
        <x:v>GSE23720</x:v>
      </x:c>
      <x:c r="C73" s="22" t="str">
        <x:v>GSM585448</x:v>
      </x:c>
      <x:c r="D73" s="22" t="str">
        <x:v>T149</x:v>
      </x:c>
      <x:c r="E73" s="22" t="str">
        <x:v>GSE81540</x:v>
      </x:c>
      <x:c r="F73" s="22" t="str">
        <x:v>GSM2155706</x:v>
      </x:c>
      <x:c r="G73" s="22" t="str">
        <x:v>T149</x:v>
      </x:c>
      <x:c r="H73" s="22" t="str">
        <x:v>False</x:v>
      </x:c>
      <x:c r="I73" s="22" t="str">
        <x:v>False</x:v>
      </x:c>
      <x:c r="J73" s="22" t="str">
        <x:v>False</x:v>
      </x:c>
      <x:c r="K73" s="22" t="str">
        <x:v>False</x:v>
      </x:c>
      <x:c r="L73" s="22" t="str">
        <x:v>High-resolution comparative genomic hybridization of inflammatory breast cancer and identification of candidate genes</x:v>
      </x:c>
      <x:c r="M73" s="22" t="str">
        <x:v>Clinical Value of RNA Sequencing–Based Classifiers for Prediction of the Five Conventional Breast Cancer Biomarkers: A Report From the Population-Based Multicenter Sweden Cancerome Analysis Network—Breast Initiative [superseries]</x:v>
      </x:c>
      <x:c r="N73" s="22" t="str">
        <x:v>https://www.ncbi.nlm.nih.gov/geo/query/acc.cgi?acc=GSE23720</x:v>
      </x:c>
      <x:c r="O73" s="22" t="str">
        <x:v>https://www.ncbi.nlm.nih.gov/geo/query/acc.cgi?acc=GSE81540</x:v>
      </x:c>
      <x:c r="P73" s="22" t="str"/>
      <x:c r="Q73" s="22" t="str"/>
      <x:c r="R73" s="22" t="str">
        <x:v>OpenAI Codex structured public-record review</x:v>
      </x:c>
      <x:c r="S73" s="22" t="str">
        <x:v>72</x:v>
      </x:c>
      <x:c r="T73" s="26" t="str">
        <x:v>evidence against identity</x:v>
      </x:c>
      <x:c r="U73" s="26" t="str">
        <x:v>False</x:v>
      </x:c>
      <x:c r="V73" s="26" t="str">
        <x:v>Matching short/local title conflicts with study or specimen metadata (source: human breast cancer tumors | Primary breast tumor; contact countries: France | Sweden); no shared publication or BioProject establishes identity.</x:v>
      </x:c>
      <x:c r="W73" s="26" t="str">
        <x:v>https://www.ncbi.nlm.nih.gov/geo/query/acc.cgi?acc=GSM585448&amp;targ=self&amp;form=text&amp;view=full; https://www.ncbi.nlm.nih.gov/geo/query/acc.cgi?acc=GSM2155706&amp;targ=self&amp;form=text&amp;view=full; https://www.ncbi.nlm.nih.gov/geo/query/acc.cgi?acc=GSE23720; https://www.ncbi.nlm.nih.gov/geo/query/acc.cgi?acc=GSE81540</x:v>
      </x:c>
      <x:c r="X73" s="27" t="str">
        <x:v>2026-09-27</x:v>
      </x:c>
      <x:c r="Y73" s="26" t="str">
        <x:v>Naol Beyene</x:v>
      </x:c>
      <x:c r="Z73" s="32" t="str">
        <x:v>Verified</x:v>
      </x:c>
      <x:c r="AA73" s="32" t="str">
        <x:v>Author manually verified the classification and cited evidence.</x:v>
      </x:c>
    </x:row>
    <x:row r="74" ht="42" customHeight="1">
      <x:c r="A74" s="22" t="str">
        <x:v>zr751</x:v>
      </x:c>
      <x:c r="B74" s="22" t="str">
        <x:v>GSE111151</x:v>
      </x:c>
      <x:c r="C74" s="22" t="str">
        <x:v>GSM3024058</x:v>
      </x:c>
      <x:c r="D74" s="22" t="str">
        <x:v>ZR-75-1</x:v>
      </x:c>
      <x:c r="E74" s="22" t="str">
        <x:v>GSE87008</x:v>
      </x:c>
      <x:c r="F74" s="22" t="str">
        <x:v>GSM2318774</x:v>
      </x:c>
      <x:c r="G74" s="22" t="str">
        <x:v>ZR751</x:v>
      </x:c>
      <x:c r="H74" s="22" t="str">
        <x:v>False</x:v>
      </x:c>
      <x:c r="I74" s="22" t="str">
        <x:v>False</x:v>
      </x:c>
      <x:c r="J74" s="22" t="str">
        <x:v>False</x:v>
      </x:c>
      <x:c r="K74" s="22" t="str">
        <x:v>False</x:v>
      </x:c>
      <x:c r="L74" s="22" t="str">
        <x:v>RNA-sequencing of tamoxifen-resistant and -sensitive breast cancer cell lines.</x:v>
      </x:c>
      <x:c r="M74" s="22" t="str">
        <x:v>CDK4 phosphorylation status and a linked gene expression profile predict sensitivity to Palbociclib</x:v>
      </x:c>
      <x:c r="N74" s="22" t="str">
        <x:v>https://www.ncbi.nlm.nih.gov/geo/query/acc.cgi?acc=GSE111151</x:v>
      </x:c>
      <x:c r="O74" s="22" t="str">
        <x:v>https://www.ncbi.nlm.nih.gov/geo/query/acc.cgi?acc=GSE87008</x:v>
      </x:c>
      <x:c r="P74" s="22" t="str"/>
      <x:c r="Q74" s="22" t="str"/>
      <x:c r="R74" s="22" t="str">
        <x:v>OpenAI Codex structured public-record review</x:v>
      </x:c>
      <x:c r="S74" s="22" t="str">
        <x:v>73</x:v>
      </x:c>
      <x:c r="T74" s="26" t="str">
        <x:v>related study/model but identity not established</x:v>
      </x:c>
      <x:c r="U74" s="26" t="str">
        <x:v>False</x:v>
      </x:c>
      <x:c r="V74" s="26" t="str">
        <x:v>The records name the same established cell-line/model, but separate studies and culture/assay metadata do not establish the same physical aliquot (source: mammary gland | ATCC; contact countries: Finland | Belgium).</x:v>
      </x:c>
      <x:c r="W74" s="26" t="str">
        <x:v>https://www.ncbi.nlm.nih.gov/geo/query/acc.cgi?acc=GSM3024058&amp;targ=self&amp;form=text&amp;view=full; https://www.ncbi.nlm.nih.gov/geo/query/acc.cgi?acc=GSM2318774&amp;targ=self&amp;form=text&amp;view=full; https://www.ncbi.nlm.nih.gov/geo/query/acc.cgi?acc=GSE111151; https://www.ncbi.nlm.nih.gov/geo/query/acc.cgi?acc=GSE87008</x:v>
      </x:c>
      <x:c r="X74" s="27" t="str">
        <x:v>2026-09-27</x:v>
      </x:c>
      <x:c r="Y74" s="26" t="str">
        <x:v>Naol Beyene</x:v>
      </x:c>
      <x:c r="Z74" s="32" t="str">
        <x:v>Verified</x:v>
      </x:c>
      <x:c r="AA74" s="32" t="str">
        <x:v>Author manually verified the classification and cited evidence.</x:v>
      </x:c>
    </x:row>
    <x:row r="75" ht="42" customHeight="1">
      <x:c r="A75" s="22" t="str">
        <x:v>uacc812</x:v>
      </x:c>
      <x:c r="B75" s="22" t="str">
        <x:v>GSE119678</x:v>
      </x:c>
      <x:c r="C75" s="22" t="str">
        <x:v>GSM3380716</x:v>
      </x:c>
      <x:c r="D75" s="22" t="str">
        <x:v>UACC-812</x:v>
      </x:c>
      <x:c r="E75" s="22" t="str">
        <x:v>GSE16795</x:v>
      </x:c>
      <x:c r="F75" s="22" t="str">
        <x:v>GSM421895</x:v>
      </x:c>
      <x:c r="G75" s="22" t="str">
        <x:v>UACC812</x:v>
      </x:c>
      <x:c r="H75" s="22" t="str">
        <x:v>False</x:v>
      </x:c>
      <x:c r="I75" s="22" t="str">
        <x:v>False</x:v>
      </x:c>
      <x:c r="J75" s="22" t="str">
        <x:v>False</x:v>
      </x:c>
      <x:c r="K75" s="22" t="str">
        <x:v>False</x:v>
      </x:c>
      <x:c r="L75" s="22" t="str">
        <x:v>Defective transcription elongation in a subset of cancers confers immunotherapy resistance (human cell lines RNA-Seq)</x:v>
      </x:c>
      <x:c r="M75" s="22" t="str">
        <x:v>Affymetrix HG-U133A gene expression profiles of 39 human breast cancer cell lines</x:v>
      </x:c>
      <x:c r="N75" s="22" t="str">
        <x:v>https://www.ncbi.nlm.nih.gov/geo/query/acc.cgi?acc=GSE119678</x:v>
      </x:c>
      <x:c r="O75" s="22" t="str">
        <x:v>https://www.ncbi.nlm.nih.gov/geo/query/acc.cgi?acc=GSE16795</x:v>
      </x:c>
      <x:c r="P75" s="22" t="str"/>
      <x:c r="Q75" s="22" t="str"/>
      <x:c r="R75" s="22" t="str">
        <x:v>OpenAI Codex structured public-record review</x:v>
      </x:c>
      <x:c r="S75" s="22" t="str">
        <x:v>74</x:v>
      </x:c>
      <x:c r="T75" s="26" t="str">
        <x:v>related study/model but identity not established</x:v>
      </x:c>
      <x:c r="U75" s="26" t="str">
        <x:v>False</x:v>
      </x:c>
      <x:c r="V75" s="26" t="str">
        <x:v>The records name the same established cell-line/model, but separate studies and culture/assay metadata do not establish the same physical aliquot (source: Mammary gland:Breast | breast cancer cell line; contact countries: USA | Netherlands).</x:v>
      </x:c>
      <x:c r="W75" s="26" t="str">
        <x:v>https://www.ncbi.nlm.nih.gov/geo/query/acc.cgi?acc=GSM3380716&amp;targ=self&amp;form=text&amp;view=full; https://www.ncbi.nlm.nih.gov/geo/query/acc.cgi?acc=GSM421895&amp;targ=self&amp;form=text&amp;view=full; https://www.ncbi.nlm.nih.gov/geo/query/acc.cgi?acc=GSE119678; https://www.ncbi.nlm.nih.gov/geo/query/acc.cgi?acc=GSE16795</x:v>
      </x:c>
      <x:c r="X75" s="27" t="str">
        <x:v>2026-09-27</x:v>
      </x:c>
      <x:c r="Y75" s="26" t="str">
        <x:v>Naol Beyene</x:v>
      </x:c>
      <x:c r="Z75" s="32" t="str">
        <x:v>Verified</x:v>
      </x:c>
      <x:c r="AA75" s="32" t="str">
        <x:v>Author manually verified the classification and cited evidence.</x:v>
      </x:c>
    </x:row>
    <x:row r="76" ht="42" customHeight="1">
      <x:c r="A76" s="22" t="str">
        <x:v>ffpex112168348x80950</x:v>
      </x:c>
      <x:c r="B76" s="22" t="str">
        <x:v>GSE115577</x:v>
      </x:c>
      <x:c r="C76" s="22" t="str">
        <x:v>GSM3183476</x:v>
      </x:c>
      <x:c r="D76" s="22" t="str">
        <x:v>FFPE X112168348 [X80_950]</x:v>
      </x:c>
      <x:c r="E76" s="22" t="str">
        <x:v>GSE93601</x:v>
      </x:c>
      <x:c r="F76" s="22" t="str">
        <x:v>GSM2458086</x:v>
      </x:c>
      <x:c r="G76" s="22" t="str">
        <x:v>FFPE_X112168348 [X80_950]</x:v>
      </x:c>
      <x:c r="H76" s="22" t="str">
        <x:v>False</x:v>
      </x:c>
      <x:c r="I76" s="22" t="str">
        <x:v>False</x:v>
      </x:c>
      <x:c r="J76" s="22" t="str">
        <x:v>False</x:v>
      </x:c>
      <x:c r="K76" s="22" t="str">
        <x:v>False</x:v>
      </x:c>
      <x:c r="L76" s="22" t="str">
        <x:v>Tumor &amp; Tumor-Adj Gene Expression in the Nurses' Health Study Cohorts</x:v>
      </x:c>
      <x:c r="M76" s="22" t="str">
        <x:v>Alcohol Consumption and Breast Tumor Gene Expression</x:v>
      </x:c>
      <x:c r="N76" s="22" t="str">
        <x:v>https://www.ncbi.nlm.nih.gov/geo/query/acc.cgi?acc=GSE115577</x:v>
      </x:c>
      <x:c r="O76" s="22" t="str">
        <x:v>https://www.ncbi.nlm.nih.gov/geo/query/acc.cgi?acc=GSE93601</x:v>
      </x:c>
      <x:c r="P76" s="22" t="str"/>
      <x:c r="Q76" s="22" t="str"/>
      <x:c r="R76" s="22" t="str">
        <x:v>OpenAI Codex structured public-record review</x:v>
      </x:c>
      <x:c r="S76" s="22" t="str">
        <x:v>75</x:v>
      </x:c>
      <x:c r="T76" s="26" t="str">
        <x:v>confirmed same patient/sample/material</x:v>
      </x:c>
      <x:c r="U76" s="26" t="str">
        <x:v>True</x:v>
      </x:c>
      <x:c r="V76" s="26" t="str">
        <x:v>Unique NHS patient/material identifier and plate label recur; tissue, age/year, cohort, and assay metadata align across the NHS reanalysis and original tumor study.</x:v>
      </x:c>
      <x:c r="W76" s="26" t="str">
        <x:v>https://www.ncbi.nlm.nih.gov/geo/query/acc.cgi?acc=GSM3183476&amp;targ=self&amp;form=text&amp;view=full; https://www.ncbi.nlm.nih.gov/geo/query/acc.cgi?acc=GSM2458086&amp;targ=self&amp;form=text&amp;view=full; https://www.ncbi.nlm.nih.gov/geo/query/acc.cgi?acc=GSE115577; https://www.ncbi.nlm.nih.gov/geo/query/acc.cgi?acc=GSE93601</x:v>
      </x:c>
      <x:c r="X76" s="27" t="str">
        <x:v>2026-09-27</x:v>
      </x:c>
      <x:c r="Y76" s="26" t="str">
        <x:v>Naol Beyene</x:v>
      </x:c>
      <x:c r="Z76" s="32" t="str">
        <x:v>Verified</x:v>
      </x:c>
      <x:c r="AA76" s="32" t="str">
        <x:v>Author manually verified the classification and cited evidence.</x:v>
      </x:c>
    </x:row>
    <x:row r="77" ht="42" customHeight="1">
      <x:c r="A77" s="22" t="str">
        <x:v>vehrep1</x:v>
      </x:c>
      <x:c r="B77" s="22" t="str">
        <x:v>GSE139928</x:v>
      </x:c>
      <x:c r="C77" s="22" t="str">
        <x:v>GSM4149697</x:v>
      </x:c>
      <x:c r="D77" s="22" t="str">
        <x:v>Veh_rep1</x:v>
      </x:c>
      <x:c r="E77" s="22" t="str">
        <x:v>GSE183459</x:v>
      </x:c>
      <x:c r="F77" s="22" t="str">
        <x:v>GSM5557942</x:v>
      </x:c>
      <x:c r="G77" s="22" t="str">
        <x:v>Veh_rep1</x:v>
      </x:c>
      <x:c r="H77" s="22" t="str">
        <x:v>False</x:v>
      </x:c>
      <x:c r="I77" s="22" t="str">
        <x:v>False</x:v>
      </x:c>
      <x:c r="J77" s="22" t="str">
        <x:v>False</x:v>
      </x:c>
      <x:c r="K77" s="22" t="str">
        <x:v>False</x:v>
      </x:c>
      <x:c r="L77" s="22" t="str">
        <x:v>Genome wide analysis of transcripts regulated by PAX2 and Tamoxifen in MCF-7 cells</x:v>
      </x:c>
      <x:c r="M77" s="22" t="str">
        <x:v>EZH2-mediated epigenetic suppression of IFNa/b-STAT2 signaling enhances anti-tumor immunity in breast cancer</x:v>
      </x:c>
      <x:c r="N77" s="22" t="str">
        <x:v>https://www.ncbi.nlm.nih.gov/geo/query/acc.cgi?acc=GSE139928</x:v>
      </x:c>
      <x:c r="O77" s="22" t="str">
        <x:v>https://www.ncbi.nlm.nih.gov/geo/query/acc.cgi?acc=GSE183459</x:v>
      </x:c>
      <x:c r="P77" s="22" t="str"/>
      <x:c r="Q77" s="22" t="str"/>
      <x:c r="R77" s="22" t="str">
        <x:v>OpenAI Codex structured public-record review</x:v>
      </x:c>
      <x:c r="S77" s="22" t="str">
        <x:v>76</x:v>
      </x:c>
      <x:c r="T77" s="26" t="str">
        <x:v>evidence against identity</x:v>
      </x:c>
      <x:c r="U77" s="26" t="str">
        <x:v>False</x:v>
      </x:c>
      <x:c r="V77" s="26" t="str">
        <x:v>Matching short/local title conflicts with study or specimen metadata (source: Mamary gland epithelial cell | 67NR tumors; contact countries: Norway | USA); no shared publication or BioProject establishes identity.</x:v>
      </x:c>
      <x:c r="W77" s="26" t="str">
        <x:v>https://www.ncbi.nlm.nih.gov/geo/query/acc.cgi?acc=GSM4149697&amp;targ=self&amp;form=text&amp;view=full; https://www.ncbi.nlm.nih.gov/geo/query/acc.cgi?acc=GSM5557942&amp;targ=self&amp;form=text&amp;view=full; https://www.ncbi.nlm.nih.gov/geo/query/acc.cgi?acc=GSE139928; https://www.ncbi.nlm.nih.gov/geo/query/acc.cgi?acc=GSE183459</x:v>
      </x:c>
      <x:c r="X77" s="27" t="str">
        <x:v>2026-09-27</x:v>
      </x:c>
      <x:c r="Y77" s="26" t="str">
        <x:v>Naol Beyene</x:v>
      </x:c>
      <x:c r="Z77" s="32" t="str">
        <x:v>Verified</x:v>
      </x:c>
      <x:c r="AA77" s="32" t="str">
        <x:v>Author manually verified the classification and cited evidence.</x:v>
      </x:c>
    </x:row>
    <x:row r="78" ht="42" customHeight="1">
      <x:c r="A78" s="22" t="str">
        <x:v>tn68</x:v>
      </x:c>
      <x:c r="B78" s="22" t="str">
        <x:v>GSE46581</x:v>
      </x:c>
      <x:c r="C78" s="22" t="str">
        <x:v>GSM1132800</x:v>
      </x:c>
      <x:c r="D78" s="22" t="str">
        <x:v>TN68</x:v>
      </x:c>
      <x:c r="E78" s="22" t="str">
        <x:v>GSE86946</x:v>
      </x:c>
      <x:c r="F78" s="22" t="str">
        <x:v>GSM2310774</x:v>
      </x:c>
      <x:c r="G78" s="22" t="str">
        <x:v>TN68</x:v>
      </x:c>
      <x:c r="H78" s="22" t="str">
        <x:v>False</x:v>
      </x:c>
      <x:c r="I78" s="22" t="str">
        <x:v>False</x:v>
      </x:c>
      <x:c r="J78" s="22" t="str">
        <x:v>False</x:v>
      </x:c>
      <x:c r="K78" s="22" t="str">
        <x:v>False</x:v>
      </x:c>
      <x:c r="L78" s="22" t="str">
        <x:v>Yale Triple Negative Breast Cancer Cohort</x:v>
      </x:c>
      <x:c r="M78" s="22" t="str">
        <x:v>Transcriptome characterization of triple negative breast cancer [Mexico]</x:v>
      </x:c>
      <x:c r="N78" s="22" t="str">
        <x:v>https://www.ncbi.nlm.nih.gov/geo/query/acc.cgi?acc=GSE46581</x:v>
      </x:c>
      <x:c r="O78" s="22" t="str">
        <x:v>https://www.ncbi.nlm.nih.gov/geo/query/acc.cgi?acc=GSE86946</x:v>
      </x:c>
      <x:c r="P78" s="22" t="str"/>
      <x:c r="Q78" s="22" t="str"/>
      <x:c r="R78" s="22" t="str">
        <x:v>OpenAI Codex structured public-record review</x:v>
      </x:c>
      <x:c r="S78" s="22" t="str">
        <x:v>77</x:v>
      </x:c>
      <x:c r="T78" s="26" t="str">
        <x:v>evidence against identity</x:v>
      </x:c>
      <x:c r="U78" s="26" t="str">
        <x:v>False</x:v>
      </x:c>
      <x:c r="V78" s="26" t="str">
        <x:v>Matching short/local title conflicts with study or specimen metadata (source: FFPE core from TNBC patient 235 | FFPE breast cancer tumor; contact countries: Germany | Mexico); no shared publication or BioProject establishes identity.</x:v>
      </x:c>
      <x:c r="W78" s="26" t="str">
        <x:v>https://www.ncbi.nlm.nih.gov/geo/query/acc.cgi?acc=GSM1132800&amp;targ=self&amp;form=text&amp;view=full; https://www.ncbi.nlm.nih.gov/geo/query/acc.cgi?acc=GSM2310774&amp;targ=self&amp;form=text&amp;view=full; https://www.ncbi.nlm.nih.gov/geo/query/acc.cgi?acc=GSE46581; https://www.ncbi.nlm.nih.gov/geo/query/acc.cgi?acc=GSE86946</x:v>
      </x:c>
      <x:c r="X78" s="27" t="str">
        <x:v>2026-09-27</x:v>
      </x:c>
      <x:c r="Y78" s="26" t="str">
        <x:v>Naol Beyene</x:v>
      </x:c>
      <x:c r="Z78" s="32" t="str">
        <x:v>Verified</x:v>
      </x:c>
      <x:c r="AA78" s="32" t="str">
        <x:v>Author manually verified the classification and cited evidence.</x:v>
      </x:c>
    </x:row>
    <x:row r="79" ht="42" customHeight="1">
      <x:c r="A79" s="22" t="str">
        <x:v>tn21</x:v>
      </x:c>
      <x:c r="B79" s="22" t="str">
        <x:v>GSE206912</x:v>
      </x:c>
      <x:c r="C79" s="22" t="str">
        <x:v>GSM6266778</x:v>
      </x:c>
      <x:c r="D79" s="22" t="str">
        <x:v>TN_21</x:v>
      </x:c>
      <x:c r="E79" s="22" t="str">
        <x:v>GSE43358</x:v>
      </x:c>
      <x:c r="F79" s="22" t="str">
        <x:v>GSM1060958</x:v>
      </x:c>
      <x:c r="G79" s="22" t="str">
        <x:v>TN-21</x:v>
      </x:c>
      <x:c r="H79" s="22" t="str">
        <x:v>False</x:v>
      </x:c>
      <x:c r="I79" s="22" t="str">
        <x:v>False</x:v>
      </x:c>
      <x:c r="J79" s="22" t="str">
        <x:v>False</x:v>
      </x:c>
      <x:c r="K79" s="22" t="str">
        <x:v>False</x:v>
      </x:c>
      <x:c r="L79" s="22" t="str">
        <x:v>Identification of a minimum number of genes to predict triple negative breast cancer subgroups from gene expression profiles</x:v>
      </x:c>
      <x:c r="M79" s="22" t="str">
        <x:v>Transfer of clinically relevant gene expression signatures in breast cancer: from Affymetrix microarray to Illumina RNA-Sequencing technology</x:v>
      </x:c>
      <x:c r="N79" s="22" t="str">
        <x:v>https://www.ncbi.nlm.nih.gov/geo/query/acc.cgi?acc=GSE206912</x:v>
      </x:c>
      <x:c r="O79" s="22" t="str">
        <x:v>https://www.ncbi.nlm.nih.gov/geo/query/acc.cgi?acc=GSE43358</x:v>
      </x:c>
      <x:c r="P79" s="22" t="str"/>
      <x:c r="Q79" s="22" t="str"/>
      <x:c r="R79" s="22" t="str">
        <x:v>OpenAI Codex structured public-record review</x:v>
      </x:c>
      <x:c r="S79" s="22" t="str">
        <x:v>78</x:v>
      </x:c>
      <x:c r="T79" s="26" t="str">
        <x:v>evidence against identity</x:v>
      </x:c>
      <x:c r="U79" s="26" t="str">
        <x:v>False</x:v>
      </x:c>
      <x:c r="V79" s="26" t="str">
        <x:v>Matching short/local title conflicts with study or specimen metadata (source: TNBC sample | Breast tumor; contact countries: Italy | Belgium); no shared publication or BioProject establishes identity.</x:v>
      </x:c>
      <x:c r="W79" s="26" t="str">
        <x:v>https://www.ncbi.nlm.nih.gov/geo/query/acc.cgi?acc=GSM6266778&amp;targ=self&amp;form=text&amp;view=full; https://www.ncbi.nlm.nih.gov/geo/query/acc.cgi?acc=GSM1060958&amp;targ=self&amp;form=text&amp;view=full; https://www.ncbi.nlm.nih.gov/geo/query/acc.cgi?acc=GSE206912; https://www.ncbi.nlm.nih.gov/geo/query/acc.cgi?acc=GSE43358</x:v>
      </x:c>
      <x:c r="X79" s="27" t="str">
        <x:v>2026-09-27</x:v>
      </x:c>
      <x:c r="Y79" s="26" t="str">
        <x:v>Naol Beyene</x:v>
      </x:c>
      <x:c r="Z79" s="32" t="str">
        <x:v>Verified</x:v>
      </x:c>
      <x:c r="AA79" s="32" t="str">
        <x:v>Author manually verified the classification and cited evidence.</x:v>
      </x:c>
    </x:row>
    <x:row r="80" ht="42" customHeight="1">
      <x:c r="A80" s="22" t="str">
        <x:v>hcc38</x:v>
      </x:c>
      <x:c r="B80" s="22" t="str">
        <x:v>GSE173634</x:v>
      </x:c>
      <x:c r="C80" s="22" t="str">
        <x:v>GSM5272812</x:v>
      </x:c>
      <x:c r="D80" s="22" t="str">
        <x:v>HCC38</x:v>
      </x:c>
      <x:c r="E80" s="22" t="str">
        <x:v>GSE59242</x:v>
      </x:c>
      <x:c r="F80" s="22" t="str">
        <x:v>GSM1431223</x:v>
      </x:c>
      <x:c r="G80" s="22" t="str">
        <x:v>HCC38</x:v>
      </x:c>
      <x:c r="H80" s="22" t="str">
        <x:v>False</x:v>
      </x:c>
      <x:c r="I80" s="22" t="str">
        <x:v>False</x:v>
      </x:c>
      <x:c r="J80" s="22" t="str">
        <x:v>False</x:v>
      </x:c>
      <x:c r="K80" s="22" t="str">
        <x:v>False</x:v>
      </x:c>
      <x:c r="L80" s="22" t="str">
        <x:v>Molecular phenotyping of breast cancer cell lines at the single-cell level for automated tumour diagnosis and prediction of drug sensitivity</x:v>
      </x:c>
      <x:c r="M80" s="22" t="str">
        <x:v>Profiling of human cancer breast cell lines (Affymetrix)</x:v>
      </x:c>
      <x:c r="N80" s="22" t="str">
        <x:v>https://www.ncbi.nlm.nih.gov/geo/query/acc.cgi?acc=GSE173634</x:v>
      </x:c>
      <x:c r="O80" s="22" t="str">
        <x:v>https://www.ncbi.nlm.nih.gov/geo/query/acc.cgi?acc=GSE59242</x:v>
      </x:c>
      <x:c r="P80" s="22" t="str"/>
      <x:c r="Q80" s="22" t="str"/>
      <x:c r="R80" s="22" t="str">
        <x:v>OpenAI Codex structured public-record review</x:v>
      </x:c>
      <x:c r="S80" s="22" t="str">
        <x:v>79</x:v>
      </x:c>
      <x:c r="T80" s="26" t="str">
        <x:v>related study/model but identity not established</x:v>
      </x:c>
      <x:c r="U80" s="26" t="str">
        <x:v>False</x:v>
      </x:c>
      <x:c r="V80" s="26" t="str">
        <x:v>The records name the same established cell-line/model, but separate studies and culture/assay metadata do not establish the same physical aliquot (source: Immortalized Breast Cancer Cell-line | breast cancer cell line HCC38; contact countries: Italy | USA).</x:v>
      </x:c>
      <x:c r="W80" s="26" t="str">
        <x:v>https://www.ncbi.nlm.nih.gov/geo/query/acc.cgi?acc=GSM5272812&amp;targ=self&amp;form=text&amp;view=full; https://www.ncbi.nlm.nih.gov/geo/query/acc.cgi?acc=GSM1431223&amp;targ=self&amp;form=text&amp;view=full; https://www.ncbi.nlm.nih.gov/geo/query/acc.cgi?acc=GSE173634; https://www.ncbi.nlm.nih.gov/geo/query/acc.cgi?acc=GSE59242</x:v>
      </x:c>
      <x:c r="X80" s="27" t="str">
        <x:v>2026-09-27</x:v>
      </x:c>
      <x:c r="Y80" s="26" t="str">
        <x:v>Naol Beyene</x:v>
      </x:c>
      <x:c r="Z80" s="32" t="str">
        <x:v>Verified</x:v>
      </x:c>
      <x:c r="AA80" s="32" t="str">
        <x:v>Author manually verified the classification and cited evidence.</x:v>
      </x:c>
    </x:row>
    <x:row r="81" ht="42" customHeight="1">
      <x:c r="A81" s="22" t="str">
        <x:v>ffpex112303303x92702</x:v>
      </x:c>
      <x:c r="B81" s="22" t="str">
        <x:v>GSE115577</x:v>
      </x:c>
      <x:c r="C81" s="22" t="str">
        <x:v>GSM3183302</x:v>
      </x:c>
      <x:c r="D81" s="22" t="str">
        <x:v>FFPE X112303303 [X92_702]</x:v>
      </x:c>
      <x:c r="E81" s="22" t="str">
        <x:v>GSE93601</x:v>
      </x:c>
      <x:c r="F81" s="22" t="str">
        <x:v>GSM2457890</x:v>
      </x:c>
      <x:c r="G81" s="22" t="str">
        <x:v>FFPE_X112303303 [X92_702]</x:v>
      </x:c>
      <x:c r="H81" s="22" t="str">
        <x:v>False</x:v>
      </x:c>
      <x:c r="I81" s="22" t="str">
        <x:v>False</x:v>
      </x:c>
      <x:c r="J81" s="22" t="str">
        <x:v>False</x:v>
      </x:c>
      <x:c r="K81" s="22" t="str">
        <x:v>False</x:v>
      </x:c>
      <x:c r="L81" s="22" t="str">
        <x:v>Tumor &amp; Tumor-Adj Gene Expression in the Nurses' Health Study Cohorts</x:v>
      </x:c>
      <x:c r="M81" s="22" t="str">
        <x:v>Alcohol Consumption and Breast Tumor Gene Expression</x:v>
      </x:c>
      <x:c r="N81" s="22" t="str">
        <x:v>https://www.ncbi.nlm.nih.gov/geo/query/acc.cgi?acc=GSE115577</x:v>
      </x:c>
      <x:c r="O81" s="22" t="str">
        <x:v>https://www.ncbi.nlm.nih.gov/geo/query/acc.cgi?acc=GSE93601</x:v>
      </x:c>
      <x:c r="P81" s="22" t="str"/>
      <x:c r="Q81" s="22" t="str"/>
      <x:c r="R81" s="22" t="str">
        <x:v>OpenAI Codex structured public-record review</x:v>
      </x:c>
      <x:c r="S81" s="22" t="str">
        <x:v>80</x:v>
      </x:c>
      <x:c r="T81" s="26" t="str">
        <x:v>confirmed same patient/sample/material</x:v>
      </x:c>
      <x:c r="U81" s="26" t="str">
        <x:v>True</x:v>
      </x:c>
      <x:c r="V81" s="26" t="str">
        <x:v>Unique NHS patient/material identifier and plate label recur; tissue, age/year, cohort, and assay metadata align across the NHS reanalysis and original tumor study.</x:v>
      </x:c>
      <x:c r="W81" s="26" t="str">
        <x:v>https://www.ncbi.nlm.nih.gov/geo/query/acc.cgi?acc=GSM3183302&amp;targ=self&amp;form=text&amp;view=full; https://www.ncbi.nlm.nih.gov/geo/query/acc.cgi?acc=GSM2457890&amp;targ=self&amp;form=text&amp;view=full; https://www.ncbi.nlm.nih.gov/geo/query/acc.cgi?acc=GSE115577; https://www.ncbi.nlm.nih.gov/geo/query/acc.cgi?acc=GSE93601</x:v>
      </x:c>
      <x:c r="X81" s="27" t="str">
        <x:v>2026-09-27</x:v>
      </x:c>
      <x:c r="Y81" s="26" t="str">
        <x:v>Naol Beyene</x:v>
      </x:c>
      <x:c r="Z81" s="32" t="str">
        <x:v>Verified</x:v>
      </x:c>
      <x:c r="AA81" s="32" t="str">
        <x:v>Author manually verified the classification and cited evidence.</x:v>
      </x:c>
    </x:row>
    <x:row r="82" ht="42" customHeight="1">
      <x:c r="A82" s="22" t="str">
        <x:v>mdamb468</x:v>
      </x:c>
      <x:c r="B82" s="22" t="str">
        <x:v>GSE212143</x:v>
      </x:c>
      <x:c r="C82" s="22" t="str">
        <x:v>GSM6510146</x:v>
      </x:c>
      <x:c r="D82" s="22" t="str">
        <x:v>MDA-MB-468</x:v>
      </x:c>
      <x:c r="E82" s="22" t="str">
        <x:v>GSE52643</x:v>
      </x:c>
      <x:c r="F82" s="22" t="str">
        <x:v>GSM1273497</x:v>
      </x:c>
      <x:c r="G82" s="22" t="str">
        <x:v>MDA-MB-468</x:v>
      </x:c>
      <x:c r="H82" s="22" t="str">
        <x:v>False</x:v>
      </x:c>
      <x:c r="I82" s="22" t="str">
        <x:v>False</x:v>
      </x:c>
      <x:c r="J82" s="22" t="str">
        <x:v>False</x:v>
      </x:c>
      <x:c r="K82" s="22" t="str">
        <x:v>False</x:v>
      </x:c>
      <x:c r="L82" s="22" t="str">
        <x:v>Transcriptome analysis of 15 different breast cancer cell lines</x:v>
      </x:c>
      <x:c r="M82" s="22" t="str">
        <x:v>Fusion discovery in breast cancer cell line</x:v>
      </x:c>
      <x:c r="N82" s="22" t="str">
        <x:v>https://www.ncbi.nlm.nih.gov/geo/query/acc.cgi?acc=GSE212143</x:v>
      </x:c>
      <x:c r="O82" s="22" t="str">
        <x:v>https://www.ncbi.nlm.nih.gov/geo/query/acc.cgi?acc=GSE52643</x:v>
      </x:c>
      <x:c r="P82" s="22" t="str"/>
      <x:c r="Q82" s="22" t="str"/>
      <x:c r="R82" s="22" t="str">
        <x:v>OpenAI Codex structured public-record review</x:v>
      </x:c>
      <x:c r="S82" s="22" t="str">
        <x:v>81</x:v>
      </x:c>
      <x:c r="T82" s="26" t="str">
        <x:v>related study/model but identity not established</x:v>
      </x:c>
      <x:c r="U82" s="26" t="str">
        <x:v>False</x:v>
      </x:c>
      <x:c r="V82" s="26" t="str">
        <x:v>The records name the same established cell-line/model, but separate studies and culture/assay metadata do not establish the same physical aliquot (source: breast cancer cells | breast cancer cell line; contact countries: USA | USA).</x:v>
      </x:c>
      <x:c r="W82" s="26" t="str">
        <x:v>https://www.ncbi.nlm.nih.gov/geo/query/acc.cgi?acc=GSM6510146&amp;targ=self&amp;form=text&amp;view=full; https://www.ncbi.nlm.nih.gov/geo/query/acc.cgi?acc=GSM1273497&amp;targ=self&amp;form=text&amp;view=full; https://www.ncbi.nlm.nih.gov/geo/query/acc.cgi?acc=GSE212143; https://www.ncbi.nlm.nih.gov/geo/query/acc.cgi?acc=GSE52643</x:v>
      </x:c>
      <x:c r="X82" s="27" t="str">
        <x:v>2026-09-27</x:v>
      </x:c>
      <x:c r="Y82" s="26" t="str">
        <x:v>Naol Beyene</x:v>
      </x:c>
      <x:c r="Z82" s="32" t="str">
        <x:v>Verified</x:v>
      </x:c>
      <x:c r="AA82" s="32" t="str">
        <x:v>Author manually verified the classification and cited evidence.</x:v>
      </x:c>
    </x:row>
    <x:row r="83" ht="42" customHeight="1">
      <x:c r="A83" s="22" t="str">
        <x:v>ffpex117381832x27729ffpeplate8</x:v>
      </x:c>
      <x:c r="B83" s="22" t="str">
        <x:v>GSE115577</x:v>
      </x:c>
      <x:c r="C83" s="22" t="str">
        <x:v>GSM3183330</x:v>
      </x:c>
      <x:c r="D83" s="22" t="str">
        <x:v>FFPE X117381832 [X27_729_FFPE_Plate8]</x:v>
      </x:c>
      <x:c r="E83" s="22" t="str">
        <x:v>GSE93601</x:v>
      </x:c>
      <x:c r="F83" s="22" t="str">
        <x:v>GSM2458122</x:v>
      </x:c>
      <x:c r="G83" s="22" t="str">
        <x:v>FFPE_X117381832 [X27_729_FFPE_Plate8]</x:v>
      </x:c>
      <x:c r="H83" s="22" t="str">
        <x:v>False</x:v>
      </x:c>
      <x:c r="I83" s="22" t="str">
        <x:v>False</x:v>
      </x:c>
      <x:c r="J83" s="22" t="str">
        <x:v>False</x:v>
      </x:c>
      <x:c r="K83" s="22" t="str">
        <x:v>False</x:v>
      </x:c>
      <x:c r="L83" s="22" t="str">
        <x:v>Tumor &amp; Tumor-Adj Gene Expression in the Nurses' Health Study Cohorts</x:v>
      </x:c>
      <x:c r="M83" s="22" t="str">
        <x:v>Alcohol Consumption and Breast Tumor Gene Expression</x:v>
      </x:c>
      <x:c r="N83" s="22" t="str">
        <x:v>https://www.ncbi.nlm.nih.gov/geo/query/acc.cgi?acc=GSE115577</x:v>
      </x:c>
      <x:c r="O83" s="22" t="str">
        <x:v>https://www.ncbi.nlm.nih.gov/geo/query/acc.cgi?acc=GSE93601</x:v>
      </x:c>
      <x:c r="P83" s="22" t="str"/>
      <x:c r="Q83" s="22" t="str"/>
      <x:c r="R83" s="22" t="str">
        <x:v>OpenAI Codex structured public-record review</x:v>
      </x:c>
      <x:c r="S83" s="22" t="str">
        <x:v>82</x:v>
      </x:c>
      <x:c r="T83" s="26" t="str">
        <x:v>confirmed same patient/sample/material</x:v>
      </x:c>
      <x:c r="U83" s="26" t="str">
        <x:v>True</x:v>
      </x:c>
      <x:c r="V83" s="26" t="str">
        <x:v>Unique NHS patient/material identifier and plate label recur; tissue, age/year, cohort, and assay metadata align across the NHS reanalysis and original tumor study.</x:v>
      </x:c>
      <x:c r="W83" s="26" t="str">
        <x:v>https://www.ncbi.nlm.nih.gov/geo/query/acc.cgi?acc=GSM3183330&amp;targ=self&amp;form=text&amp;view=full; https://www.ncbi.nlm.nih.gov/geo/query/acc.cgi?acc=GSM2458122&amp;targ=self&amp;form=text&amp;view=full; https://www.ncbi.nlm.nih.gov/geo/query/acc.cgi?acc=GSE115577; https://www.ncbi.nlm.nih.gov/geo/query/acc.cgi?acc=GSE93601</x:v>
      </x:c>
      <x:c r="X83" s="27" t="str">
        <x:v>2026-09-27</x:v>
      </x:c>
      <x:c r="Y83" s="26" t="str">
        <x:v>Naol Beyene</x:v>
      </x:c>
      <x:c r="Z83" s="32" t="str">
        <x:v>Verified</x:v>
      </x:c>
      <x:c r="AA83" s="32" t="str">
        <x:v>Author manually verified the classification and cited evidence.</x:v>
      </x:c>
    </x:row>
    <x:row r="84" ht="42" customHeight="1">
      <x:c r="A84" s="22" t="str">
        <x:v>tn13</x:v>
      </x:c>
      <x:c r="B84" s="22" t="str">
        <x:v>GSE206912</x:v>
      </x:c>
      <x:c r="C84" s="22" t="str">
        <x:v>GSM6266770</x:v>
      </x:c>
      <x:c r="D84" s="22" t="str">
        <x:v>TN_13</x:v>
      </x:c>
      <x:c r="E84" s="22" t="str">
        <x:v>GSE86948</x:v>
      </x:c>
      <x:c r="F84" s="22" t="str">
        <x:v>GSM2310738</x:v>
      </x:c>
      <x:c r="G84" s="22" t="str">
        <x:v>TN13</x:v>
      </x:c>
      <x:c r="H84" s="22" t="str">
        <x:v>False</x:v>
      </x:c>
      <x:c r="I84" s="22" t="str">
        <x:v>False</x:v>
      </x:c>
      <x:c r="J84" s="22" t="str">
        <x:v>False</x:v>
      </x:c>
      <x:c r="K84" s="22" t="str">
        <x:v>False</x:v>
      </x:c>
      <x:c r="L84" s="22" t="str">
        <x:v>Identification of a minimum number of genes to predict triple negative breast cancer subgroups from gene expression profiles</x:v>
      </x:c>
      <x:c r="M84" s="22" t="str">
        <x:v>A microRNA signature identifies four subtypes of triple-negative breast cancer and correlates miR-342-3p as a regulator of the lactate metabolic pathway through silencing the monocarboxylate transporter 1</x:v>
      </x:c>
      <x:c r="N84" s="22" t="str">
        <x:v>https://www.ncbi.nlm.nih.gov/geo/query/acc.cgi?acc=GSE206912</x:v>
      </x:c>
      <x:c r="O84" s="22" t="str">
        <x:v>https://www.ncbi.nlm.nih.gov/geo/query/acc.cgi?acc=GSE86948</x:v>
      </x:c>
      <x:c r="P84" s="22" t="str"/>
      <x:c r="Q84" s="22" t="str"/>
      <x:c r="R84" s="22" t="str">
        <x:v>OpenAI Codex structured public-record review</x:v>
      </x:c>
      <x:c r="S84" s="22" t="str">
        <x:v>83</x:v>
      </x:c>
      <x:c r="T84" s="26" t="str">
        <x:v>evidence against identity</x:v>
      </x:c>
      <x:c r="U84" s="26" t="str">
        <x:v>False</x:v>
      </x:c>
      <x:c r="V84" s="26" t="str">
        <x:v>Matching short/local title conflicts with study or specimen metadata (source: TNBC sample | FFPE breast cancer tumor; contact countries: Italy | Mexico); no shared publication or BioProject establishes identity.</x:v>
      </x:c>
      <x:c r="W84" s="26" t="str">
        <x:v>https://www.ncbi.nlm.nih.gov/geo/query/acc.cgi?acc=GSM6266770&amp;targ=self&amp;form=text&amp;view=full; https://www.ncbi.nlm.nih.gov/geo/query/acc.cgi?acc=GSM2310738&amp;targ=self&amp;form=text&amp;view=full; https://www.ncbi.nlm.nih.gov/geo/query/acc.cgi?acc=GSE206912; https://www.ncbi.nlm.nih.gov/geo/query/acc.cgi?acc=GSE86948</x:v>
      </x:c>
      <x:c r="X84" s="27" t="str">
        <x:v>2026-09-27</x:v>
      </x:c>
      <x:c r="Y84" s="26" t="str">
        <x:v>Naol Beyene</x:v>
      </x:c>
      <x:c r="Z84" s="32" t="str">
        <x:v>Verified</x:v>
      </x:c>
      <x:c r="AA84" s="32" t="str">
        <x:v>Author manually verified the classification and cited evidence.</x:v>
      </x:c>
    </x:row>
    <x:row r="85" ht="42" customHeight="1">
      <x:c r="A85" s="22" t="str">
        <x:v>t193</x:v>
      </x:c>
      <x:c r="B85" s="22" t="str">
        <x:v>GSE23720</x:v>
      </x:c>
      <x:c r="C85" s="22" t="str">
        <x:v>GSM585492</x:v>
      </x:c>
      <x:c r="D85" s="22" t="str">
        <x:v>T193</x:v>
      </x:c>
      <x:c r="E85" s="22" t="str">
        <x:v>GSE81538</x:v>
      </x:c>
      <x:c r="F85" s="22" t="str">
        <x:v>GSM2155750</x:v>
      </x:c>
      <x:c r="G85" s="22" t="str">
        <x:v>T193</x:v>
      </x:c>
      <x:c r="H85" s="22" t="str">
        <x:v>False</x:v>
      </x:c>
      <x:c r="I85" s="22" t="str">
        <x:v>False</x:v>
      </x:c>
      <x:c r="J85" s="22" t="str">
        <x:v>False</x:v>
      </x:c>
      <x:c r="K85" s="22" t="str">
        <x:v>False</x:v>
      </x:c>
      <x:c r="L85" s="22" t="str">
        <x:v>High-resolution comparative genomic hybridization of inflammatory breast cancer and identification of candidate genes</x:v>
      </x:c>
      <x:c r="M85" s="22" t="str">
        <x:v>Clinical Value of RNA Sequencing–Based Classifiers for Prediction of the Five Conventional Breast Cancer Biomarkers: A Report From the Population-Based Multicenter Sweden Cancerome Analysis Network—Breast Initiative [cohort 405]</x:v>
      </x:c>
      <x:c r="N85" s="22" t="str">
        <x:v>https://www.ncbi.nlm.nih.gov/geo/query/acc.cgi?acc=GSE23720</x:v>
      </x:c>
      <x:c r="O85" s="22" t="str">
        <x:v>https://www.ncbi.nlm.nih.gov/geo/query/acc.cgi?acc=GSE81538</x:v>
      </x:c>
      <x:c r="P85" s="22" t="str"/>
      <x:c r="Q85" s="22" t="str"/>
      <x:c r="R85" s="22" t="str">
        <x:v>OpenAI Codex structured public-record review</x:v>
      </x:c>
      <x:c r="S85" s="22" t="str">
        <x:v>84</x:v>
      </x:c>
      <x:c r="T85" s="26" t="str">
        <x:v>evidence against identity</x:v>
      </x:c>
      <x:c r="U85" s="26" t="str">
        <x:v>False</x:v>
      </x:c>
      <x:c r="V85" s="26" t="str">
        <x:v>Matching short/local title conflicts with study or specimen metadata (source: human breast cancer tumors | Primary breast tumor; contact countries: France | Sweden); no shared publication or BioProject establishes identity.</x:v>
      </x:c>
      <x:c r="W85" s="26" t="str">
        <x:v>https://www.ncbi.nlm.nih.gov/geo/query/acc.cgi?acc=GSM585492&amp;targ=self&amp;form=text&amp;view=full; https://www.ncbi.nlm.nih.gov/geo/query/acc.cgi?acc=GSM2155750&amp;targ=self&amp;form=text&amp;view=full; https://www.ncbi.nlm.nih.gov/geo/query/acc.cgi?acc=GSE23720; https://www.ncbi.nlm.nih.gov/geo/query/acc.cgi?acc=GSE81538</x:v>
      </x:c>
      <x:c r="X85" s="27" t="str">
        <x:v>2026-09-27</x:v>
      </x:c>
      <x:c r="Y85" s="26" t="str">
        <x:v>Naol Beyene</x:v>
      </x:c>
      <x:c r="Z85" s="32" t="str">
        <x:v>Verified</x:v>
      </x:c>
      <x:c r="AA85" s="32" t="str">
        <x:v>Author manually verified the classification and cited evidence.</x:v>
      </x:c>
    </x:row>
    <x:row r="86" ht="42" customHeight="1">
      <x:c r="A86" s="22" t="str">
        <x:v>tnbc56</x:v>
      </x:c>
      <x:c r="B86" s="22" t="str">
        <x:v>GSE167213</x:v>
      </x:c>
      <x:c r="C86" s="22" t="str">
        <x:v>GSM5099659</x:v>
      </x:c>
      <x:c r="D86" s="22" t="str">
        <x:v>TNBC_56</x:v>
      </x:c>
      <x:c r="E86" s="22" t="str">
        <x:v>GSE190275</x:v>
      </x:c>
      <x:c r="F86" s="22" t="str">
        <x:v>GSM5719058</x:v>
      </x:c>
      <x:c r="G86" s="22" t="str">
        <x:v>TNBC_56</x:v>
      </x:c>
      <x:c r="H86" s="22" t="str">
        <x:v>False</x:v>
      </x:c>
      <x:c r="I86" s="22" t="str">
        <x:v>False</x:v>
      </x:c>
      <x:c r="J86" s="22" t="str">
        <x:v>False</x:v>
      </x:c>
      <x:c r="K86" s="22" t="str">
        <x:v>False</x:v>
      </x:c>
      <x:c r="L86" s="22" t="str">
        <x:v>Identifying High-Risk Triple-Negative Breast Cancer Patients by Molecular Subtyping</x:v>
      </x:c>
      <x:c r="M86" s="22" t="str">
        <x:v>TP53 signature predicts survival outcome in triple-negative breast cancer with neoadjuvant chemotherapy</x:v>
      </x:c>
      <x:c r="N86" s="22" t="str">
        <x:v>https://www.ncbi.nlm.nih.gov/geo/query/acc.cgi?acc=GSE167213</x:v>
      </x:c>
      <x:c r="O86" s="22" t="str">
        <x:v>https://www.ncbi.nlm.nih.gov/geo/query/acc.cgi?acc=GSE190275</x:v>
      </x:c>
      <x:c r="P86" s="22" t="str"/>
      <x:c r="Q86" s="22" t="str"/>
      <x:c r="R86" s="22" t="str">
        <x:v>OpenAI Codex structured public-record review</x:v>
      </x:c>
      <x:c r="S86" s="22" t="str">
        <x:v>85</x:v>
      </x:c>
      <x:c r="T86" s="26" t="str">
        <x:v>evidence against identity</x:v>
      </x:c>
      <x:c r="U86" s="26" t="str">
        <x:v>False</x:v>
      </x:c>
      <x:c r="V86" s="26" t="str">
        <x:v>Matching short/local title conflicts with study or specimen metadata (source: breast cancer | primary breast cancer; contact countries: Germany | Japan); no shared publication or BioProject establishes identity.</x:v>
      </x:c>
      <x:c r="W86" s="26" t="str">
        <x:v>https://www.ncbi.nlm.nih.gov/geo/query/acc.cgi?acc=GSM5099659&amp;targ=self&amp;form=text&amp;view=full; https://www.ncbi.nlm.nih.gov/geo/query/acc.cgi?acc=GSM5719058&amp;targ=self&amp;form=text&amp;view=full; https://www.ncbi.nlm.nih.gov/geo/query/acc.cgi?acc=GSE167213; https://www.ncbi.nlm.nih.gov/geo/query/acc.cgi?acc=GSE190275</x:v>
      </x:c>
      <x:c r="X86" s="27" t="str">
        <x:v>2026-09-27</x:v>
      </x:c>
      <x:c r="Y86" s="26" t="str">
        <x:v>Naol Beyene</x:v>
      </x:c>
      <x:c r="Z86" s="32" t="str">
        <x:v>Verified</x:v>
      </x:c>
      <x:c r="AA86" s="32" t="str">
        <x:v>Author manually verified the classification and cited evidence.</x:v>
      </x:c>
    </x:row>
    <x:row r="87" ht="42" customHeight="1">
      <x:c r="A87" s="22" t="str">
        <x:v>mdamb436</x:v>
      </x:c>
      <x:c r="B87" s="22" t="str">
        <x:v>GSE16732</x:v>
      </x:c>
      <x:c r="C87" s="22" t="str">
        <x:v>GSM419273</x:v>
      </x:c>
      <x:c r="D87" s="22" t="str">
        <x:v>MDA-MB-436</x:v>
      </x:c>
      <x:c r="E87" s="22" t="str">
        <x:v>GSE87006</x:v>
      </x:c>
      <x:c r="F87" s="22" t="str">
        <x:v>GSM2318770</x:v>
      </x:c>
      <x:c r="G87" s="22" t="str">
        <x:v>MDAMB436</x:v>
      </x:c>
      <x:c r="H87" s="22" t="str">
        <x:v>False</x:v>
      </x:c>
      <x:c r="I87" s="22" t="str">
        <x:v>False</x:v>
      </x:c>
      <x:c r="J87" s="22" t="str">
        <x:v>False</x:v>
      </x:c>
      <x:c r="K87" s="22" t="str">
        <x:v>False</x:v>
      </x:c>
      <x:c r="L87" s="22" t="str">
        <x:v>Affymetrix Gene Chip Human Exon 1.0 ST Array expression profiling of 41 human breast cancer cell lines</x:v>
      </x:c>
      <x:c r="M87" s="22" t="str">
        <x:v>CDK4 phosphorylation status and a linked gene expression profile predict sensitivity to Palbociclib [lines]</x:v>
      </x:c>
      <x:c r="N87" s="22" t="str">
        <x:v>https://www.ncbi.nlm.nih.gov/geo/query/acc.cgi?acc=GSE16732</x:v>
      </x:c>
      <x:c r="O87" s="22" t="str">
        <x:v>https://www.ncbi.nlm.nih.gov/geo/query/acc.cgi?acc=GSE87006</x:v>
      </x:c>
      <x:c r="P87" s="22" t="str"/>
      <x:c r="Q87" s="22" t="str"/>
      <x:c r="R87" s="22" t="str">
        <x:v>OpenAI Codex structured public-record review</x:v>
      </x:c>
      <x:c r="S87" s="22" t="str">
        <x:v>86</x:v>
      </x:c>
      <x:c r="T87" s="26" t="str">
        <x:v>related study/model but identity not established</x:v>
      </x:c>
      <x:c r="U87" s="26" t="str">
        <x:v>False</x:v>
      </x:c>
      <x:c r="V87" s="26" t="str">
        <x:v>The records name the same established cell-line/model, but separate studies and culture/assay metadata do not establish the same physical aliquot (source: Breast cancer cell lines | ATCC; contact countries: Netherlands | Belgium).</x:v>
      </x:c>
      <x:c r="W87" s="26" t="str">
        <x:v>https://www.ncbi.nlm.nih.gov/geo/query/acc.cgi?acc=GSM419273&amp;targ=self&amp;form=text&amp;view=full; https://www.ncbi.nlm.nih.gov/geo/query/acc.cgi?acc=GSM2318770&amp;targ=self&amp;form=text&amp;view=full; https://www.ncbi.nlm.nih.gov/geo/query/acc.cgi?acc=GSE16732; https://www.ncbi.nlm.nih.gov/geo/query/acc.cgi?acc=GSE87006</x:v>
      </x:c>
      <x:c r="X87" s="27" t="str">
        <x:v>2026-09-27</x:v>
      </x:c>
      <x:c r="Y87" s="26" t="str">
        <x:v>Naol Beyene</x:v>
      </x:c>
      <x:c r="Z87" s="32" t="str">
        <x:v>Verified</x:v>
      </x:c>
      <x:c r="AA87" s="32" t="str">
        <x:v>Author manually verified the classification and cited evidence.</x:v>
      </x:c>
    </x:row>
    <x:row r="88" ht="42" customHeight="1">
      <x:c r="A88" s="22" t="str">
        <x:v>ffpex212564887x6x2plate1nhsii</x:v>
      </x:c>
      <x:c r="B88" s="22" t="str">
        <x:v>GSE115577</x:v>
      </x:c>
      <x:c r="C88" s="22" t="str">
        <x:v>GSM3183607</x:v>
      </x:c>
      <x:c r="D88" s="22" t="str">
        <x:v>FFPE X212564887 [X6_X.2_plate1NHSII]</x:v>
      </x:c>
      <x:c r="E88" s="22" t="str">
        <x:v>GSE93601</x:v>
      </x:c>
      <x:c r="F88" s="22" t="str">
        <x:v>GSM2458155</x:v>
      </x:c>
      <x:c r="G88" s="22" t="str">
        <x:v>FFPE_X212564887 [X6_X.2_plate1NHSII]</x:v>
      </x:c>
      <x:c r="H88" s="22" t="str">
        <x:v>False</x:v>
      </x:c>
      <x:c r="I88" s="22" t="str">
        <x:v>False</x:v>
      </x:c>
      <x:c r="J88" s="22" t="str">
        <x:v>False</x:v>
      </x:c>
      <x:c r="K88" s="22" t="str">
        <x:v>False</x:v>
      </x:c>
      <x:c r="L88" s="22" t="str">
        <x:v>Tumor &amp; Tumor-Adj Gene Expression in the Nurses' Health Study Cohorts</x:v>
      </x:c>
      <x:c r="M88" s="22" t="str">
        <x:v>Alcohol Consumption and Breast Tumor Gene Expression</x:v>
      </x:c>
      <x:c r="N88" s="22" t="str">
        <x:v>https://www.ncbi.nlm.nih.gov/geo/query/acc.cgi?acc=GSE115577</x:v>
      </x:c>
      <x:c r="O88" s="22" t="str">
        <x:v>https://www.ncbi.nlm.nih.gov/geo/query/acc.cgi?acc=GSE93601</x:v>
      </x:c>
      <x:c r="P88" s="22" t="str"/>
      <x:c r="Q88" s="22" t="str"/>
      <x:c r="R88" s="22" t="str">
        <x:v>OpenAI Codex structured public-record review</x:v>
      </x:c>
      <x:c r="S88" s="22" t="str">
        <x:v>87</x:v>
      </x:c>
      <x:c r="T88" s="26" t="str">
        <x:v>confirmed same patient/sample/material</x:v>
      </x:c>
      <x:c r="U88" s="26" t="str">
        <x:v>True</x:v>
      </x:c>
      <x:c r="V88" s="26" t="str">
        <x:v>Unique NHS patient/material identifier and plate label recur; tissue, age/year, cohort, and assay metadata align across the NHS reanalysis and original tumor study.</x:v>
      </x:c>
      <x:c r="W88" s="26" t="str">
        <x:v>https://www.ncbi.nlm.nih.gov/geo/query/acc.cgi?acc=GSM3183607&amp;targ=self&amp;form=text&amp;view=full; https://www.ncbi.nlm.nih.gov/geo/query/acc.cgi?acc=GSM2458155&amp;targ=self&amp;form=text&amp;view=full; https://www.ncbi.nlm.nih.gov/geo/query/acc.cgi?acc=GSE115577; https://www.ncbi.nlm.nih.gov/geo/query/acc.cgi?acc=GSE93601</x:v>
      </x:c>
      <x:c r="X88" s="27" t="str">
        <x:v>2026-09-27</x:v>
      </x:c>
      <x:c r="Y88" s="26" t="str">
        <x:v>Naol Beyene</x:v>
      </x:c>
      <x:c r="Z88" s="32" t="str">
        <x:v>Verified</x:v>
      </x:c>
      <x:c r="AA88" s="32" t="str">
        <x:v>Author manually verified the classification and cited evidence.</x:v>
      </x:c>
    </x:row>
    <x:row r="89" ht="42" customHeight="1">
      <x:c r="A89" s="22" t="str">
        <x:v>uacc812</x:v>
      </x:c>
      <x:c r="B89" s="22" t="str">
        <x:v>GSE16795</x:v>
      </x:c>
      <x:c r="C89" s="22" t="str">
        <x:v>GSM421895</x:v>
      </x:c>
      <x:c r="D89" s="22" t="str">
        <x:v>UACC812</x:v>
      </x:c>
      <x:c r="E89" s="22" t="str">
        <x:v>GSE28866</x:v>
      </x:c>
      <x:c r="F89" s="22" t="str">
        <x:v>GSM984234</x:v>
      </x:c>
      <x:c r="G89" s="22" t="str">
        <x:v>UACC-812</x:v>
      </x:c>
      <x:c r="H89" s="22" t="str">
        <x:v>False</x:v>
      </x:c>
      <x:c r="I89" s="22" t="str">
        <x:v>False</x:v>
      </x:c>
      <x:c r="J89" s="22" t="str">
        <x:v>False</x:v>
      </x:c>
      <x:c r="K89" s="22" t="str">
        <x:v>False</x:v>
      </x:c>
      <x:c r="L89" s="22" t="str">
        <x:v>Affymetrix HG-U133A gene expression profiles of 39 human breast cancer cell lines</x:v>
      </x:c>
      <x:c r="M89" s="22" t="str">
        <x:v>Transcriptional profiling of lncRNAs and novel transcribed regions across a diverse panel of archived human cancers</x:v>
      </x:c>
      <x:c r="N89" s="22" t="str">
        <x:v>https://www.ncbi.nlm.nih.gov/geo/query/acc.cgi?acc=GSE16795</x:v>
      </x:c>
      <x:c r="O89" s="22" t="str">
        <x:v>https://www.ncbi.nlm.nih.gov/geo/query/acc.cgi?acc=GSE28866</x:v>
      </x:c>
      <x:c r="P89" s="22" t="str"/>
      <x:c r="Q89" s="22" t="str"/>
      <x:c r="R89" s="22" t="str">
        <x:v>OpenAI Codex structured public-record review</x:v>
      </x:c>
      <x:c r="S89" s="22" t="str">
        <x:v>88</x:v>
      </x:c>
      <x:c r="T89" s="26" t="str">
        <x:v>related study/model but identity not established</x:v>
      </x:c>
      <x:c r="U89" s="26" t="str">
        <x:v>False</x:v>
      </x:c>
      <x:c r="V89" s="26" t="str">
        <x:v>The records name the same established cell-line/model, but separate studies and culture/assay metadata do not establish the same physical aliquot (source: breast cancer cell line | Breast cancer cell line; contact countries: Netherlands | USA).</x:v>
      </x:c>
      <x:c r="W89" s="26" t="str">
        <x:v>https://www.ncbi.nlm.nih.gov/geo/query/acc.cgi?acc=GSM421895&amp;targ=self&amp;form=text&amp;view=full; https://www.ncbi.nlm.nih.gov/geo/query/acc.cgi?acc=GSM984234&amp;targ=self&amp;form=text&amp;view=full; https://www.ncbi.nlm.nih.gov/geo/query/acc.cgi?acc=GSE16795; https://www.ncbi.nlm.nih.gov/geo/query/acc.cgi?acc=GSE28866</x:v>
      </x:c>
      <x:c r="X89" s="27" t="str">
        <x:v>2026-09-27</x:v>
      </x:c>
      <x:c r="Y89" s="26" t="str">
        <x:v>Naol Beyene</x:v>
      </x:c>
      <x:c r="Z89" s="32" t="str">
        <x:v>Verified</x:v>
      </x:c>
      <x:c r="AA89" s="32" t="str">
        <x:v>Author manually verified the classification and cited evidence.</x:v>
      </x:c>
    </x:row>
    <x:row r="90" ht="42" customHeight="1">
      <x:c r="A90" s="22" t="str">
        <x:v>tn15</x:v>
      </x:c>
      <x:c r="B90" s="22" t="str">
        <x:v>GSE206912</x:v>
      </x:c>
      <x:c r="C90" s="22" t="str">
        <x:v>GSM6266776</x:v>
      </x:c>
      <x:c r="D90" s="22" t="str">
        <x:v>TN_15</x:v>
      </x:c>
      <x:c r="E90" s="22" t="str">
        <x:v>GSE46581</x:v>
      </x:c>
      <x:c r="F90" s="22" t="str">
        <x:v>GSM1132818</x:v>
      </x:c>
      <x:c r="G90" s="22" t="str">
        <x:v>TN15</x:v>
      </x:c>
      <x:c r="H90" s="22" t="str">
        <x:v>False</x:v>
      </x:c>
      <x:c r="I90" s="22" t="str">
        <x:v>False</x:v>
      </x:c>
      <x:c r="J90" s="22" t="str">
        <x:v>False</x:v>
      </x:c>
      <x:c r="K90" s="22" t="str">
        <x:v>False</x:v>
      </x:c>
      <x:c r="L90" s="22" t="str">
        <x:v>Identification of a minimum number of genes to predict triple negative breast cancer subgroups from gene expression profiles</x:v>
      </x:c>
      <x:c r="M90" s="22" t="str">
        <x:v>Yale Triple Negative Breast Cancer Cohort</x:v>
      </x:c>
      <x:c r="N90" s="22" t="str">
        <x:v>https://www.ncbi.nlm.nih.gov/geo/query/acc.cgi?acc=GSE206912</x:v>
      </x:c>
      <x:c r="O90" s="22" t="str">
        <x:v>https://www.ncbi.nlm.nih.gov/geo/query/acc.cgi?acc=GSE46581</x:v>
      </x:c>
      <x:c r="P90" s="22" t="str"/>
      <x:c r="Q90" s="22" t="str"/>
      <x:c r="R90" s="22" t="str">
        <x:v>OpenAI Codex structured public-record review</x:v>
      </x:c>
      <x:c r="S90" s="22" t="str">
        <x:v>89</x:v>
      </x:c>
      <x:c r="T90" s="26" t="str">
        <x:v>evidence against identity</x:v>
      </x:c>
      <x:c r="U90" s="26" t="str">
        <x:v>False</x:v>
      </x:c>
      <x:c r="V90" s="26" t="str">
        <x:v>Matching short/local title conflicts with study or specimen metadata (source: TNBC sample | FFPE core from TNBC patient 208; contact countries: Italy | Germany); no shared publication or BioProject establishes identity.</x:v>
      </x:c>
      <x:c r="W90" s="26" t="str">
        <x:v>https://www.ncbi.nlm.nih.gov/geo/query/acc.cgi?acc=GSM6266776&amp;targ=self&amp;form=text&amp;view=full; https://www.ncbi.nlm.nih.gov/geo/query/acc.cgi?acc=GSM1132818&amp;targ=self&amp;form=text&amp;view=full; https://www.ncbi.nlm.nih.gov/geo/query/acc.cgi?acc=GSE206912; https://www.ncbi.nlm.nih.gov/geo/query/acc.cgi?acc=GSE46581</x:v>
      </x:c>
      <x:c r="X90" s="27" t="str">
        <x:v>2026-09-27</x:v>
      </x:c>
      <x:c r="Y90" s="26" t="str">
        <x:v>Naol Beyene</x:v>
      </x:c>
      <x:c r="Z90" s="32" t="str">
        <x:v>Verified</x:v>
      </x:c>
      <x:c r="AA90" s="32" t="str">
        <x:v>Author manually verified the classification and cited evidence.</x:v>
      </x:c>
    </x:row>
    <x:row r="91" ht="42" customHeight="1">
      <x:c r="A91" s="22" t="str">
        <x:v>ffpex215167176x40x210nhsiiplate3</x:v>
      </x:c>
      <x:c r="B91" s="22" t="str">
        <x:v>GSE115577</x:v>
      </x:c>
      <x:c r="C91" s="22" t="str">
        <x:v>GSM3183619</x:v>
      </x:c>
      <x:c r="D91" s="22" t="str">
        <x:v>FFPE X215167176 [X40_X.210_NHSIIplate3]</x:v>
      </x:c>
      <x:c r="E91" s="22" t="str">
        <x:v>GSE93601</x:v>
      </x:c>
      <x:c r="F91" s="22" t="str">
        <x:v>GSM2458183</x:v>
      </x:c>
      <x:c r="G91" s="22" t="str">
        <x:v>FFPE_X215167176 [X40_X.210_NHSIIplate3]</x:v>
      </x:c>
      <x:c r="H91" s="22" t="str">
        <x:v>False</x:v>
      </x:c>
      <x:c r="I91" s="22" t="str">
        <x:v>False</x:v>
      </x:c>
      <x:c r="J91" s="22" t="str">
        <x:v>False</x:v>
      </x:c>
      <x:c r="K91" s="22" t="str">
        <x:v>False</x:v>
      </x:c>
      <x:c r="L91" s="22" t="str">
        <x:v>Tumor &amp; Tumor-Adj Gene Expression in the Nurses' Health Study Cohorts</x:v>
      </x:c>
      <x:c r="M91" s="22" t="str">
        <x:v>Alcohol Consumption and Breast Tumor Gene Expression</x:v>
      </x:c>
      <x:c r="N91" s="22" t="str">
        <x:v>https://www.ncbi.nlm.nih.gov/geo/query/acc.cgi?acc=GSE115577</x:v>
      </x:c>
      <x:c r="O91" s="22" t="str">
        <x:v>https://www.ncbi.nlm.nih.gov/geo/query/acc.cgi?acc=GSE93601</x:v>
      </x:c>
      <x:c r="P91" s="22" t="str"/>
      <x:c r="Q91" s="22" t="str"/>
      <x:c r="R91" s="22" t="str">
        <x:v>OpenAI Codex structured public-record review</x:v>
      </x:c>
      <x:c r="S91" s="22" t="str">
        <x:v>90</x:v>
      </x:c>
      <x:c r="T91" s="26" t="str">
        <x:v>confirmed same patient/sample/material</x:v>
      </x:c>
      <x:c r="U91" s="26" t="str">
        <x:v>True</x:v>
      </x:c>
      <x:c r="V91" s="26" t="str">
        <x:v>Unique NHS patient/material identifier and plate label recur; tissue, age/year, cohort, and assay metadata align across the NHS reanalysis and original tumor study.</x:v>
      </x:c>
      <x:c r="W91" s="26" t="str">
        <x:v>https://www.ncbi.nlm.nih.gov/geo/query/acc.cgi?acc=GSM3183619&amp;targ=self&amp;form=text&amp;view=full; https://www.ncbi.nlm.nih.gov/geo/query/acc.cgi?acc=GSM2458183&amp;targ=self&amp;form=text&amp;view=full; https://www.ncbi.nlm.nih.gov/geo/query/acc.cgi?acc=GSE115577; https://www.ncbi.nlm.nih.gov/geo/query/acc.cgi?acc=GSE93601</x:v>
      </x:c>
      <x:c r="X91" s="27" t="str">
        <x:v>2026-09-27</x:v>
      </x:c>
      <x:c r="Y91" s="26" t="str">
        <x:v>Naol Beyene</x:v>
      </x:c>
      <x:c r="Z91" s="32" t="str">
        <x:v>Verified</x:v>
      </x:c>
      <x:c r="AA91" s="32" t="str">
        <x:v>Author manually verified the classification and cited evidence.</x:v>
      </x:c>
    </x:row>
    <x:row r="92" ht="42" customHeight="1">
      <x:c r="A92" s="22" t="str">
        <x:v>sum149pt</x:v>
      </x:c>
      <x:c r="B92" s="22" t="str">
        <x:v>GSE228382</x:v>
      </x:c>
      <x:c r="C92" s="22" t="str">
        <x:v>GSM7118110</x:v>
      </x:c>
      <x:c r="D92" s="22" t="str">
        <x:v>SUM149PT</x:v>
      </x:c>
      <x:c r="E92" s="22" t="str">
        <x:v>GSE59242</x:v>
      </x:c>
      <x:c r="F92" s="22" t="str">
        <x:v>GSM1431211</x:v>
      </x:c>
      <x:c r="G92" s="22" t="str">
        <x:v>SUM149PT</x:v>
      </x:c>
      <x:c r="H92" s="22" t="str">
        <x:v>False</x:v>
      </x:c>
      <x:c r="I92" s="22" t="str">
        <x:v>False</x:v>
      </x:c>
      <x:c r="J92" s="22" t="str">
        <x:v>False</x:v>
      </x:c>
      <x:c r="K92" s="22" t="str">
        <x:v>False</x:v>
      </x:c>
      <x:c r="L92" s="22" t="str">
        <x:v>Single cell lineage tracing reveals clonal dynamics of anti-EGFR therapy resistance in triple negative breast cancer.</x:v>
      </x:c>
      <x:c r="M92" s="22" t="str">
        <x:v>Profiling of human cancer breast cell lines (Affymetrix)</x:v>
      </x:c>
      <x:c r="N92" s="22" t="str">
        <x:v>https://www.ncbi.nlm.nih.gov/geo/query/acc.cgi?acc=GSE228382</x:v>
      </x:c>
      <x:c r="O92" s="22" t="str">
        <x:v>https://www.ncbi.nlm.nih.gov/geo/query/acc.cgi?acc=GSE59242</x:v>
      </x:c>
      <x:c r="P92" s="22" t="str"/>
      <x:c r="Q92" s="22" t="str"/>
      <x:c r="R92" s="22" t="str">
        <x:v>OpenAI Codex structured public-record review</x:v>
      </x:c>
      <x:c r="S92" s="22" t="str">
        <x:v>91</x:v>
      </x:c>
      <x:c r="T92" s="26" t="str">
        <x:v>related study/model but identity not established</x:v>
      </x:c>
      <x:c r="U92" s="26" t="str">
        <x:v>False</x:v>
      </x:c>
      <x:c r="V92" s="26" t="str">
        <x:v>The records name the same established cell-line/model, but separate studies and culture/assay metadata do not establish the same physical aliquot (source: Breast | breast cancer cell line SUM149PT; contact countries: Italy | USA).</x:v>
      </x:c>
      <x:c r="W92" s="26" t="str">
        <x:v>https://www.ncbi.nlm.nih.gov/geo/query/acc.cgi?acc=GSM7118110&amp;targ=self&amp;form=text&amp;view=full; https://www.ncbi.nlm.nih.gov/geo/query/acc.cgi?acc=GSM1431211&amp;targ=self&amp;form=text&amp;view=full; https://www.ncbi.nlm.nih.gov/geo/query/acc.cgi?acc=GSE228382; https://www.ncbi.nlm.nih.gov/geo/query/acc.cgi?acc=GSE59242</x:v>
      </x:c>
      <x:c r="X92" s="27" t="str">
        <x:v>2026-09-27</x:v>
      </x:c>
      <x:c r="Y92" s="26" t="str">
        <x:v>Naol Beyene</x:v>
      </x:c>
      <x:c r="Z92" s="32" t="str">
        <x:v>Verified</x:v>
      </x:c>
      <x:c r="AA92" s="32" t="str">
        <x:v>Author manually verified the classification and cited evidence.</x:v>
      </x:c>
    </x:row>
    <x:row r="93" ht="42" customHeight="1">
      <x:c r="A93" s="22" t="str">
        <x:v>ffpex121724576x73498plate5</x:v>
      </x:c>
      <x:c r="B93" s="22" t="str">
        <x:v>GSE115577</x:v>
      </x:c>
      <x:c r="C93" s="22" t="str">
        <x:v>GSM3183134</x:v>
      </x:c>
      <x:c r="D93" s="22" t="str">
        <x:v>FFPE X121724576 [X73_498_plate5]</x:v>
      </x:c>
      <x:c r="E93" s="22" t="str">
        <x:v>GSE93601</x:v>
      </x:c>
      <x:c r="F93" s="22" t="str">
        <x:v>GSM2457910</x:v>
      </x:c>
      <x:c r="G93" s="22" t="str">
        <x:v>FFPE_X121724576 [X73_498_plate5]</x:v>
      </x:c>
      <x:c r="H93" s="22" t="str">
        <x:v>False</x:v>
      </x:c>
      <x:c r="I93" s="22" t="str">
        <x:v>False</x:v>
      </x:c>
      <x:c r="J93" s="22" t="str">
        <x:v>False</x:v>
      </x:c>
      <x:c r="K93" s="22" t="str">
        <x:v>False</x:v>
      </x:c>
      <x:c r="L93" s="22" t="str">
        <x:v>Tumor &amp; Tumor-Adj Gene Expression in the Nurses' Health Study Cohorts</x:v>
      </x:c>
      <x:c r="M93" s="22" t="str">
        <x:v>Alcohol Consumption and Breast Tumor Gene Expression</x:v>
      </x:c>
      <x:c r="N93" s="22" t="str">
        <x:v>https://www.ncbi.nlm.nih.gov/geo/query/acc.cgi?acc=GSE115577</x:v>
      </x:c>
      <x:c r="O93" s="22" t="str">
        <x:v>https://www.ncbi.nlm.nih.gov/geo/query/acc.cgi?acc=GSE93601</x:v>
      </x:c>
      <x:c r="P93" s="22" t="str"/>
      <x:c r="Q93" s="22" t="str"/>
      <x:c r="R93" s="22" t="str">
        <x:v>OpenAI Codex structured public-record review</x:v>
      </x:c>
      <x:c r="S93" s="22" t="str">
        <x:v>92</x:v>
      </x:c>
      <x:c r="T93" s="26" t="str">
        <x:v>confirmed same patient/sample/material</x:v>
      </x:c>
      <x:c r="U93" s="26" t="str">
        <x:v>True</x:v>
      </x:c>
      <x:c r="V93" s="26" t="str">
        <x:v>Unique NHS patient/material identifier and plate label recur; tissue, age/year, cohort, and assay metadata align across the NHS reanalysis and original tumor study.</x:v>
      </x:c>
      <x:c r="W93" s="26" t="str">
        <x:v>https://www.ncbi.nlm.nih.gov/geo/query/acc.cgi?acc=GSM3183134&amp;targ=self&amp;form=text&amp;view=full; https://www.ncbi.nlm.nih.gov/geo/query/acc.cgi?acc=GSM2457910&amp;targ=self&amp;form=text&amp;view=full; https://www.ncbi.nlm.nih.gov/geo/query/acc.cgi?acc=GSE115577; https://www.ncbi.nlm.nih.gov/geo/query/acc.cgi?acc=GSE93601</x:v>
      </x:c>
      <x:c r="X93" s="27" t="str">
        <x:v>2026-09-27</x:v>
      </x:c>
      <x:c r="Y93" s="26" t="str">
        <x:v>Naol Beyene</x:v>
      </x:c>
      <x:c r="Z93" s="32" t="str">
        <x:v>Verified</x:v>
      </x:c>
      <x:c r="AA93" s="32" t="str">
        <x:v>Author manually verified the classification and cited evidence.</x:v>
      </x:c>
    </x:row>
    <x:row r="94" ht="42" customHeight="1">
      <x:c r="A94" s="22" t="str">
        <x:v>ffpex119874103x951072</x:v>
      </x:c>
      <x:c r="B94" s="22" t="str">
        <x:v>GSE115577</x:v>
      </x:c>
      <x:c r="C94" s="22" t="str">
        <x:v>GSM3182835</x:v>
      </x:c>
      <x:c r="D94" s="22" t="str">
        <x:v>FFPE X119874103 [X95_1072]</x:v>
      </x:c>
      <x:c r="E94" s="22" t="str">
        <x:v>GSE93601</x:v>
      </x:c>
      <x:c r="F94" s="22" t="str">
        <x:v>GSM2457480</x:v>
      </x:c>
      <x:c r="G94" s="22" t="str">
        <x:v>FFPE_X119874103 [X95_1072]</x:v>
      </x:c>
      <x:c r="H94" s="22" t="str">
        <x:v>False</x:v>
      </x:c>
      <x:c r="I94" s="22" t="str">
        <x:v>False</x:v>
      </x:c>
      <x:c r="J94" s="22" t="str">
        <x:v>False</x:v>
      </x:c>
      <x:c r="K94" s="22" t="str">
        <x:v>False</x:v>
      </x:c>
      <x:c r="L94" s="22" t="str">
        <x:v>Tumor &amp; Tumor-Adj Gene Expression in the Nurses' Health Study Cohorts</x:v>
      </x:c>
      <x:c r="M94" s="22" t="str">
        <x:v>Alcohol Consumption and Breast Tumor Gene Expression</x:v>
      </x:c>
      <x:c r="N94" s="22" t="str">
        <x:v>https://www.ncbi.nlm.nih.gov/geo/query/acc.cgi?acc=GSE115577</x:v>
      </x:c>
      <x:c r="O94" s="22" t="str">
        <x:v>https://www.ncbi.nlm.nih.gov/geo/query/acc.cgi?acc=GSE93601</x:v>
      </x:c>
      <x:c r="P94" s="22" t="str"/>
      <x:c r="Q94" s="22" t="str"/>
      <x:c r="R94" s="22" t="str">
        <x:v>OpenAI Codex structured public-record review</x:v>
      </x:c>
      <x:c r="S94" s="22" t="str">
        <x:v>93</x:v>
      </x:c>
      <x:c r="T94" s="26" t="str">
        <x:v>confirmed same patient/sample/material</x:v>
      </x:c>
      <x:c r="U94" s="26" t="str">
        <x:v>True</x:v>
      </x:c>
      <x:c r="V94" s="26" t="str">
        <x:v>Unique NHS patient/material identifier and plate label recur; tissue, age/year, cohort, and assay metadata align across the NHS reanalysis and original tumor study.</x:v>
      </x:c>
      <x:c r="W94" s="26" t="str">
        <x:v>https://www.ncbi.nlm.nih.gov/geo/query/acc.cgi?acc=GSM3182835&amp;targ=self&amp;form=text&amp;view=full; https://www.ncbi.nlm.nih.gov/geo/query/acc.cgi?acc=GSM2457480&amp;targ=self&amp;form=text&amp;view=full; https://www.ncbi.nlm.nih.gov/geo/query/acc.cgi?acc=GSE115577; https://www.ncbi.nlm.nih.gov/geo/query/acc.cgi?acc=GSE93601</x:v>
      </x:c>
      <x:c r="X94" s="27" t="str">
        <x:v>2026-09-27</x:v>
      </x:c>
      <x:c r="Y94" s="26" t="str">
        <x:v>Naol Beyene</x:v>
      </x:c>
      <x:c r="Z94" s="32" t="str">
        <x:v>Verified</x:v>
      </x:c>
      <x:c r="AA94" s="32" t="str">
        <x:v>Author manually verified the classification and cited evidence.</x:v>
      </x:c>
    </x:row>
    <x:row r="95" ht="42" customHeight="1">
      <x:c r="A95" s="22" t="str">
        <x:v>breastcancer13cancer</x:v>
      </x:c>
      <x:c r="B95" s="22" t="str">
        <x:v>GSE146558</x:v>
      </x:c>
      <x:c r="C95" s="22" t="str">
        <x:v>GSM4392870</x:v>
      </x:c>
      <x:c r="D95" s="22" t="str">
        <x:v>Breast cancer_13 cancer</x:v>
      </x:c>
      <x:c r="E95" s="22" t="str">
        <x:v>GSE48390</x:v>
      </x:c>
      <x:c r="F95" s="22" t="str">
        <x:v>GSM1176880</x:v>
      </x:c>
      <x:c r="G95" s="22" t="str">
        <x:v>Breast cancer_13 cancer</x:v>
      </x:c>
      <x:c r="H95" s="22" t="str">
        <x:v>True</x:v>
      </x:c>
      <x:c r="I95" s="22" t="str">
        <x:v>False</x:v>
      </x:c>
      <x:c r="J95" s="22" t="str">
        <x:v>False</x:v>
      </x:c>
      <x:c r="K95" s="22" t="str">
        <x:v>True</x:v>
      </x:c>
      <x:c r="L95" s="22" t="str">
        <x:v>Gene Expression Signature of Microcalcification among Taiwanese Breast Cancer</x:v>
      </x:c>
      <x:c r="M95" s="22" t="str">
        <x:v>Concurrent Gene Signatures for Han Chinese Breast Cancers [Affymetrix]</x:v>
      </x:c>
      <x:c r="N95" s="22" t="str">
        <x:v>https://www.ncbi.nlm.nih.gov/geo/query/acc.cgi?acc=GSE146558</x:v>
      </x:c>
      <x:c r="O95" s="22" t="str">
        <x:v>https://www.ncbi.nlm.nih.gov/geo/query/acc.cgi?acc=GSE48390</x:v>
      </x:c>
      <x:c r="P95" s="22" t="str"/>
      <x:c r="Q95" s="22" t="str"/>
      <x:c r="R95" s="22" t="str">
        <x:v>OpenAI Codex structured public-record review</x:v>
      </x:c>
      <x:c r="S95" s="22" t="str">
        <x:v>94</x:v>
      </x:c>
      <x:c r="T95" s="26" t="str">
        <x:v>confirmed same patient/sample/material</x:v>
      </x:c>
      <x:c r="U95" s="26" t="str">
        <x:v>True</x:v>
      </x:c>
      <x:c r="V95" s="26" t="str">
        <x:v>Shared publication 34387660; unique tumor title and clinical attributes align in Taiwanese breast-tumor records.</x:v>
      </x:c>
      <x:c r="W95" s="26" t="str">
        <x:v>https://www.ncbi.nlm.nih.gov/geo/query/acc.cgi?acc=GSM4392870&amp;targ=self&amp;form=text&amp;view=full; https://www.ncbi.nlm.nih.gov/geo/query/acc.cgi?acc=GSM1176880&amp;targ=self&amp;form=text&amp;view=full; https://www.ncbi.nlm.nih.gov/geo/query/acc.cgi?acc=GSE146558; https://www.ncbi.nlm.nih.gov/geo/query/acc.cgi?acc=GSE48390; https://pubmed.ncbi.nlm.nih.gov/34387660/</x:v>
      </x:c>
      <x:c r="X95" s="27" t="str">
        <x:v>2026-09-27</x:v>
      </x:c>
      <x:c r="Y95" s="26" t="str">
        <x:v>Naol Beyene</x:v>
      </x:c>
      <x:c r="Z95" s="32" t="str">
        <x:v>Verified</x:v>
      </x:c>
      <x:c r="AA95" s="32" t="str">
        <x:v>Author manually verified the classification and cited evidence.</x:v>
      </x:c>
    </x:row>
    <x:row r="96" ht="42" customHeight="1">
      <x:c r="A96" s="22" t="str">
        <x:v>t90</x:v>
      </x:c>
      <x:c r="B96" s="22" t="str">
        <x:v>GSE23720</x:v>
      </x:c>
      <x:c r="C96" s="22" t="str">
        <x:v>GSM585389</x:v>
      </x:c>
      <x:c r="D96" s="22" t="str">
        <x:v>T90</x:v>
      </x:c>
      <x:c r="E96" s="22" t="str">
        <x:v>GSE81540</x:v>
      </x:c>
      <x:c r="F96" s="22" t="str">
        <x:v>GSM2155647</x:v>
      </x:c>
      <x:c r="G96" s="22" t="str">
        <x:v>T90</x:v>
      </x:c>
      <x:c r="H96" s="22" t="str">
        <x:v>False</x:v>
      </x:c>
      <x:c r="I96" s="22" t="str">
        <x:v>False</x:v>
      </x:c>
      <x:c r="J96" s="22" t="str">
        <x:v>False</x:v>
      </x:c>
      <x:c r="K96" s="22" t="str">
        <x:v>False</x:v>
      </x:c>
      <x:c r="L96" s="22" t="str">
        <x:v>High-resolution comparative genomic hybridization of inflammatory breast cancer and identification of candidate genes</x:v>
      </x:c>
      <x:c r="M96" s="22" t="str">
        <x:v>Clinical Value of RNA Sequencing–Based Classifiers for Prediction of the Five Conventional Breast Cancer Biomarkers: A Report From the Population-Based Multicenter Sweden Cancerome Analysis Network—Breast Initiative [superseries]</x:v>
      </x:c>
      <x:c r="N96" s="22" t="str">
        <x:v>https://www.ncbi.nlm.nih.gov/geo/query/acc.cgi?acc=GSE23720</x:v>
      </x:c>
      <x:c r="O96" s="22" t="str">
        <x:v>https://www.ncbi.nlm.nih.gov/geo/query/acc.cgi?acc=GSE81540</x:v>
      </x:c>
      <x:c r="P96" s="22" t="str"/>
      <x:c r="Q96" s="22" t="str"/>
      <x:c r="R96" s="22" t="str">
        <x:v>OpenAI Codex structured public-record review</x:v>
      </x:c>
      <x:c r="S96" s="22" t="str">
        <x:v>95</x:v>
      </x:c>
      <x:c r="T96" s="26" t="str">
        <x:v>evidence against identity</x:v>
      </x:c>
      <x:c r="U96" s="26" t="str">
        <x:v>False</x:v>
      </x:c>
      <x:c r="V96" s="26" t="str">
        <x:v>Matching short/local title conflicts with study or specimen metadata (source: human breast cancer tumors | Primary breast tumor; contact countries: France | Sweden); no shared publication or BioProject establishes identity.</x:v>
      </x:c>
      <x:c r="W96" s="26" t="str">
        <x:v>https://www.ncbi.nlm.nih.gov/geo/query/acc.cgi?acc=GSM585389&amp;targ=self&amp;form=text&amp;view=full; https://www.ncbi.nlm.nih.gov/geo/query/acc.cgi?acc=GSM2155647&amp;targ=self&amp;form=text&amp;view=full; https://www.ncbi.nlm.nih.gov/geo/query/acc.cgi?acc=GSE23720; https://www.ncbi.nlm.nih.gov/geo/query/acc.cgi?acc=GSE81540</x:v>
      </x:c>
      <x:c r="X96" s="27" t="str">
        <x:v>2026-09-27</x:v>
      </x:c>
      <x:c r="Y96" s="26" t="str">
        <x:v>Naol Beyene</x:v>
      </x:c>
      <x:c r="Z96" s="32" t="str">
        <x:v>Verified</x:v>
      </x:c>
      <x:c r="AA96" s="32" t="str">
        <x:v>Author manually verified the classification and cited evidence.</x:v>
      </x:c>
    </x:row>
    <x:row r="97" ht="42" customHeight="1">
      <x:c r="A97" s="22" t="str">
        <x:v>uacc812</x:v>
      </x:c>
      <x:c r="B97" s="22" t="str">
        <x:v>GSE16795</x:v>
      </x:c>
      <x:c r="C97" s="22" t="str">
        <x:v>GSM421895</x:v>
      </x:c>
      <x:c r="D97" s="22" t="str">
        <x:v>UACC812</x:v>
      </x:c>
      <x:c r="E97" s="22" t="str">
        <x:v>GSE41119</x:v>
      </x:c>
      <x:c r="F97" s="22" t="str">
        <x:v>GSM1008920</x:v>
      </x:c>
      <x:c r="G97" s="22" t="str">
        <x:v>UACC812</x:v>
      </x:c>
      <x:c r="H97" s="22" t="str">
        <x:v>False</x:v>
      </x:c>
      <x:c r="I97" s="22" t="str">
        <x:v>False</x:v>
      </x:c>
      <x:c r="J97" s="22" t="str">
        <x:v>False</x:v>
      </x:c>
      <x:c r="K97" s="22" t="str">
        <x:v>False</x:v>
      </x:c>
      <x:c r="L97" s="22" t="str">
        <x:v>Affymetrix HG-U133A gene expression profiles of 39 human breast cancer cell lines</x:v>
      </x:c>
      <x:c r="M97" s="22" t="str">
        <x:v>Molecular Characterization of Basal-like and Non-Basal-like Triple-Negative Breast Cancers</x:v>
      </x:c>
      <x:c r="N97" s="22" t="str">
        <x:v>https://www.ncbi.nlm.nih.gov/geo/query/acc.cgi?acc=GSE16795</x:v>
      </x:c>
      <x:c r="O97" s="22" t="str">
        <x:v>https://www.ncbi.nlm.nih.gov/geo/query/acc.cgi?acc=GSE41119</x:v>
      </x:c>
      <x:c r="P97" s="22" t="str"/>
      <x:c r="Q97" s="22" t="str"/>
      <x:c r="R97" s="22" t="str">
        <x:v>OpenAI Codex structured public-record review</x:v>
      </x:c>
      <x:c r="S97" s="22" t="str">
        <x:v>96</x:v>
      </x:c>
      <x:c r="T97" s="26" t="str">
        <x:v>evidence against identity</x:v>
      </x:c>
      <x:c r="U97" s="26" t="str">
        <x:v>False</x:v>
      </x:c>
      <x:c r="V97" s="26" t="str">
        <x:v>Matching short/local title conflicts with study or specimen metadata (source: breast cancer cell line | Human Reference; contact countries: Netherlands | USA); no shared publication or BioProject establishes identity.</x:v>
      </x:c>
      <x:c r="W97" s="26" t="str">
        <x:v>https://www.ncbi.nlm.nih.gov/geo/query/acc.cgi?acc=GSM421895&amp;targ=self&amp;form=text&amp;view=full; https://www.ncbi.nlm.nih.gov/geo/query/acc.cgi?acc=GSM1008920&amp;targ=self&amp;form=text&amp;view=full; https://www.ncbi.nlm.nih.gov/geo/query/acc.cgi?acc=GSE16795; https://www.ncbi.nlm.nih.gov/geo/query/acc.cgi?acc=GSE41119</x:v>
      </x:c>
      <x:c r="X97" s="27" t="str">
        <x:v>2026-09-27</x:v>
      </x:c>
      <x:c r="Y97" s="26" t="str">
        <x:v>Naol Beyene</x:v>
      </x:c>
      <x:c r="Z97" s="32" t="str">
        <x:v>Verified</x:v>
      </x:c>
      <x:c r="AA97" s="32" t="str">
        <x:v>Author manually verified the classification and cited evidence.</x:v>
      </x:c>
    </x:row>
    <x:row r="98" ht="42" customHeight="1">
      <x:c r="A98" s="22" t="str">
        <x:v>ncih460</x:v>
      </x:c>
      <x:c r="B98" s="22" t="str">
        <x:v>GSE24737</x:v>
      </x:c>
      <x:c r="C98" s="22" t="str">
        <x:v>GSM609290</x:v>
      </x:c>
      <x:c r="D98" s="22" t="str">
        <x:v>NCI-H460</x:v>
      </x:c>
      <x:c r="E98" s="22" t="str">
        <x:v>GSE57083</x:v>
      </x:c>
      <x:c r="F98" s="22" t="str">
        <x:v>GSM1374747</x:v>
      </x:c>
      <x:c r="G98" s="22" t="str">
        <x:v>NCI-H460</x:v>
      </x:c>
      <x:c r="H98" s="22" t="str">
        <x:v>False</x:v>
      </x:c>
      <x:c r="I98" s="22" t="str">
        <x:v>False</x:v>
      </x:c>
      <x:c r="J98" s="22" t="str">
        <x:v>False</x:v>
      </x:c>
      <x:c r="K98" s="22" t="str">
        <x:v>False</x:v>
      </x:c>
      <x:c r="L98" s="22" t="str">
        <x:v>Large scale screening for known fusion genes in cancer cell lines</x:v>
      </x:c>
      <x:c r="M98" s="22" t="str">
        <x:v>Expression data from AstraZeneca internal cell lines</x:v>
      </x:c>
      <x:c r="N98" s="22" t="str">
        <x:v>https://www.ncbi.nlm.nih.gov/geo/query/acc.cgi?acc=GSE24737</x:v>
      </x:c>
      <x:c r="O98" s="22" t="str">
        <x:v>https://www.ncbi.nlm.nih.gov/geo/query/acc.cgi?acc=GSE57083</x:v>
      </x:c>
      <x:c r="P98" s="22" t="str"/>
      <x:c r="Q98" s="22" t="str"/>
      <x:c r="R98" s="22" t="str">
        <x:v>OpenAI Codex structured public-record review</x:v>
      </x:c>
      <x:c r="S98" s="22" t="str">
        <x:v>97</x:v>
      </x:c>
      <x:c r="T98" s="26" t="str">
        <x:v>related study/model but identity not established</x:v>
      </x:c>
      <x:c r="U98" s="26" t="str">
        <x:v>False</x:v>
      </x:c>
      <x:c r="V98" s="26" t="str">
        <x:v>The records name the same established cell-line/model, but separate studies and culture/assay metadata do not establish the same physical aliquot (source: NCI-H460 | AZ GENE EXPRESSION; contact countries: Norway | United Kingdom).</x:v>
      </x:c>
      <x:c r="W98" s="26" t="str">
        <x:v>https://www.ncbi.nlm.nih.gov/geo/query/acc.cgi?acc=GSM609290&amp;targ=self&amp;form=text&amp;view=full; https://www.ncbi.nlm.nih.gov/geo/query/acc.cgi?acc=GSM1374747&amp;targ=self&amp;form=text&amp;view=full; https://www.ncbi.nlm.nih.gov/geo/query/acc.cgi?acc=GSE24737; https://www.ncbi.nlm.nih.gov/geo/query/acc.cgi?acc=GSE57083</x:v>
      </x:c>
      <x:c r="X98" s="27" t="str">
        <x:v>2026-09-27</x:v>
      </x:c>
      <x:c r="Y98" s="26" t="str">
        <x:v>Naol Beyene</x:v>
      </x:c>
      <x:c r="Z98" s="32" t="str">
        <x:v>Verified</x:v>
      </x:c>
      <x:c r="AA98" s="32" t="str">
        <x:v>Author manually verified the classification and cited evidence.</x:v>
      </x:c>
    </x:row>
    <x:row r="99" ht="42" customHeight="1">
      <x:c r="A99" s="22" t="str">
        <x:v>hcsc0020</x:v>
      </x:c>
      <x:c r="B99" s="22" t="str">
        <x:v>GSE181466</x:v>
      </x:c>
      <x:c r="C99" s="22" t="str">
        <x:v>GSM5502977</x:v>
      </x:c>
      <x:c r="D99" s="22" t="str">
        <x:v>HCSC-0020</x:v>
      </x:c>
      <x:c r="E99" s="22" t="str">
        <x:v>GSE181548</x:v>
      </x:c>
      <x:c r="F99" s="22" t="str">
        <x:v>GSM5505581</x:v>
      </x:c>
      <x:c r="G99" s="22" t="str">
        <x:v>HCSC-0020</x:v>
      </x:c>
      <x:c r="H99" s="22" t="str">
        <x:v>False</x:v>
      </x:c>
      <x:c r="I99" s="22" t="str">
        <x:v>False</x:v>
      </x:c>
      <x:c r="J99" s="22" t="str">
        <x:v>True</x:v>
      </x:c>
      <x:c r="K99" s="22" t="str">
        <x:v>True</x:v>
      </x:c>
      <x:c r="L99" s="22" t="str">
        <x:v>RNAseq of a Triple-Negative Breast Cancer Cohort Treated with Neoadjuvant Carboplatin and Docetaxel According to Lehmann's Refined Classification</x:v>
      </x:c>
      <x:c r="M99" s="22" t="str">
        <x:v>Pam50 of a Triple-Negative Breast Cancer Cohort Treated with Neoadjuvant Carboplatin and Docetaxel According to Lehmann's Refined Classification</x:v>
      </x:c>
      <x:c r="N99" s="22" t="str">
        <x:v>https://www.ncbi.nlm.nih.gov/geo/query/acc.cgi?acc=GSE181466</x:v>
      </x:c>
      <x:c r="O99" s="22" t="str">
        <x:v>https://www.ncbi.nlm.nih.gov/geo/query/acc.cgi?acc=GSE181548</x:v>
      </x:c>
      <x:c r="P99" s="22" t="str"/>
      <x:c r="Q99" s="22" t="str"/>
      <x:c r="R99" s="22" t="str">
        <x:v>OpenAI Codex structured public-record review</x:v>
      </x:c>
      <x:c r="S99" s="22" t="str">
        <x:v>98</x:v>
      </x:c>
      <x:c r="T99" s="26" t="str">
        <x:v>confirmed same patient/sample/material</x:v>
      </x:c>
      <x:c r="U99" s="26" t="str">
        <x:v>True</x:v>
      </x:c>
      <x:c r="V99" s="26" t="str">
        <x:v>Series summaries explicitly describe RNA-seq and PAM50 analysis of the same patients; unique HCSC/HUGM identifier and clinical attributes align.</x:v>
      </x:c>
      <x:c r="W99" s="26" t="str">
        <x:v>https://www.ncbi.nlm.nih.gov/geo/query/acc.cgi?acc=GSM5502977&amp;targ=self&amp;form=text&amp;view=full; https://www.ncbi.nlm.nih.gov/geo/query/acc.cgi?acc=GSM5505581&amp;targ=self&amp;form=text&amp;view=full; https://www.ncbi.nlm.nih.gov/geo/query/acc.cgi?acc=GSE181466; https://www.ncbi.nlm.nih.gov/geo/query/acc.cgi?acc=GSE181548</x:v>
      </x:c>
      <x:c r="X99" s="27" t="str">
        <x:v>2026-09-27</x:v>
      </x:c>
      <x:c r="Y99" s="26" t="str">
        <x:v>Naol Beyene</x:v>
      </x:c>
      <x:c r="Z99" s="32" t="str">
        <x:v>Verified</x:v>
      </x:c>
      <x:c r="AA99" s="32" t="str">
        <x:v>Author manually verified the classification and cited evidence.</x:v>
      </x:c>
    </x:row>
    <x:row r="100" ht="42" customHeight="1">
      <x:c r="A100" s="22" t="str">
        <x:v>zr7530</x:v>
      </x:c>
      <x:c r="B100" s="22" t="str">
        <x:v>GSE16732</x:v>
      </x:c>
      <x:c r="C100" s="22" t="str">
        <x:v>GSM419295</x:v>
      </x:c>
      <x:c r="D100" s="22" t="str">
        <x:v>ZR75-30</x:v>
      </x:c>
      <x:c r="E100" s="22" t="str">
        <x:v>GSE73526</x:v>
      </x:c>
      <x:c r="F100" s="22" t="str">
        <x:v>GSM1897355</x:v>
      </x:c>
      <x:c r="G100" s="22" t="str">
        <x:v>ZR7530</x:v>
      </x:c>
      <x:c r="H100" s="22" t="str">
        <x:v>False</x:v>
      </x:c>
      <x:c r="I100" s="22" t="str">
        <x:v>False</x:v>
      </x:c>
      <x:c r="J100" s="22" t="str">
        <x:v>False</x:v>
      </x:c>
      <x:c r="K100" s="22" t="str">
        <x:v>False</x:v>
      </x:c>
      <x:c r="L100" s="22" t="str">
        <x:v>Affymetrix Gene Chip Human Exon 1.0 ST Array expression profiling of 41 human breast cancer cell lines</x:v>
      </x:c>
      <x:c r="M100" s="22" t="str">
        <x:v>The Functional Genomic Landscape of Human Breast Cancer Drivers, Vulnerabilities, and Resistance (RNASeq)</x:v>
      </x:c>
      <x:c r="N100" s="22" t="str">
        <x:v>https://www.ncbi.nlm.nih.gov/geo/query/acc.cgi?acc=GSE16732</x:v>
      </x:c>
      <x:c r="O100" s="22" t="str">
        <x:v>https://www.ncbi.nlm.nih.gov/geo/query/acc.cgi?acc=GSE73526</x:v>
      </x:c>
      <x:c r="P100" s="22" t="str"/>
      <x:c r="Q100" s="22" t="str"/>
      <x:c r="R100" s="22" t="str">
        <x:v>OpenAI Codex structured public-record review</x:v>
      </x:c>
      <x:c r="S100" s="22" t="str">
        <x:v>99</x:v>
      </x:c>
      <x:c r="T100" s="26" t="str">
        <x:v>related study/model but identity not established</x:v>
      </x:c>
      <x:c r="U100" s="26" t="str">
        <x:v>False</x:v>
      </x:c>
      <x:c r="V100" s="26" t="str">
        <x:v>The records name the same established cell-line/model, but separate studies and culture/assay metadata do not establish the same physical aliquot (source: Breast cancer cell lines | breast cancer cell line; contact countries: Netherlands | Canada).</x:v>
      </x:c>
      <x:c r="W100" s="26" t="str">
        <x:v>https://www.ncbi.nlm.nih.gov/geo/query/acc.cgi?acc=GSM419295&amp;targ=self&amp;form=text&amp;view=full; https://www.ncbi.nlm.nih.gov/geo/query/acc.cgi?acc=GSM1897355&amp;targ=self&amp;form=text&amp;view=full; https://www.ncbi.nlm.nih.gov/geo/query/acc.cgi?acc=GSE16732; https://www.ncbi.nlm.nih.gov/geo/query/acc.cgi?acc=GSE73526</x:v>
      </x:c>
      <x:c r="X100" s="27" t="str">
        <x:v>2026-09-27</x:v>
      </x:c>
      <x:c r="Y100" s="26" t="str">
        <x:v>Naol Beyene</x:v>
      </x:c>
      <x:c r="Z100" s="32" t="str">
        <x:v>Verified</x:v>
      </x:c>
      <x:c r="AA100" s="32" t="str">
        <x:v>Author manually verified the classification and cited evidence.</x:v>
      </x:c>
    </x:row>
    <x:row r="101" ht="42" customHeight="1">
      <x:c r="A101" s="22" t="str">
        <x:v>mcf12a</x:v>
      </x:c>
      <x:c r="B101" s="22" t="str">
        <x:v>GSE152908</x:v>
      </x:c>
      <x:c r="C101" s="22" t="str">
        <x:v>GSM4629433</x:v>
      </x:c>
      <x:c r="D101" s="22" t="str">
        <x:v>MCF-12A</x:v>
      </x:c>
      <x:c r="E101" s="22" t="str">
        <x:v>GSE73526</x:v>
      </x:c>
      <x:c r="F101" s="22" t="str">
        <x:v>GSM1897321</x:v>
      </x:c>
      <x:c r="G101" s="22" t="str">
        <x:v>MCF12A</x:v>
      </x:c>
      <x:c r="H101" s="22" t="str">
        <x:v>False</x:v>
      </x:c>
      <x:c r="I101" s="22" t="str">
        <x:v>False</x:v>
      </x:c>
      <x:c r="J101" s="22" t="str">
        <x:v>False</x:v>
      </x:c>
      <x:c r="K101" s="22" t="str">
        <x:v>False</x:v>
      </x:c>
      <x:c r="L101" s="22" t="str">
        <x:v>Transcriptomic profiling of 62 breast cancer cell lines and PDX models</x:v>
      </x:c>
      <x:c r="M101" s="22" t="str">
        <x:v>The Functional Genomic Landscape of Human Breast Cancer Drivers, Vulnerabilities, and Resistance (RNASeq)</x:v>
      </x:c>
      <x:c r="N101" s="22" t="str">
        <x:v>https://www.ncbi.nlm.nih.gov/geo/query/acc.cgi?acc=GSE152908</x:v>
      </x:c>
      <x:c r="O101" s="22" t="str">
        <x:v>https://www.ncbi.nlm.nih.gov/geo/query/acc.cgi?acc=GSE73526</x:v>
      </x:c>
      <x:c r="P101" s="22" t="str"/>
      <x:c r="Q101" s="22" t="str"/>
      <x:c r="R101" s="22" t="str">
        <x:v>OpenAI Codex structured public-record review</x:v>
      </x:c>
      <x:c r="S101" s="22" t="str">
        <x:v>100</x:v>
      </x:c>
      <x:c r="T101" s="26" t="str">
        <x:v>related study/model but identity not established</x:v>
      </x:c>
      <x:c r="U101" s="26" t="str">
        <x:v>False</x:v>
      </x:c>
      <x:c r="V101" s="26" t="str">
        <x:v>The records name the same established cell-line/model, but separate studies and culture/assay metadata do not establish the same physical aliquot (source: breast cancer cell line | breast cancer cell line; contact countries: USA | Canada).</x:v>
      </x:c>
      <x:c r="W101" s="26" t="str">
        <x:v>https://www.ncbi.nlm.nih.gov/geo/query/acc.cgi?acc=GSM4629433&amp;targ=self&amp;form=text&amp;view=full; https://www.ncbi.nlm.nih.gov/geo/query/acc.cgi?acc=GSM1897321&amp;targ=self&amp;form=text&amp;view=full; https://www.ncbi.nlm.nih.gov/geo/query/acc.cgi?acc=GSE152908; https://www.ncbi.nlm.nih.gov/geo/query/acc.cgi?acc=GSE73526</x:v>
      </x:c>
      <x:c r="X101" s="27" t="str">
        <x:v>2026-09-27</x:v>
      </x:c>
      <x:c r="Y101" s="26" t="str">
        <x:v>Naol Beyene</x:v>
      </x:c>
      <x:c r="Z101" s="32" t="str">
        <x:v>Verified</x:v>
      </x:c>
      <x:c r="AA101" s="32" t="str">
        <x:v>Author manually verified the classification and cited evidence.</x:v>
      </x:c>
    </x:row>
  </x:sheetData>
  <x:conditionalFormatting sqref="Z2:Z101">
    <x:cfRule type="containsText" dxfId="0" priority="1" operator="containsText" text="Verified"/>
    <x:cfRule type="containsText" dxfId="1" priority="2" operator="containsText" text="Revision requested"/>
  </x:conditionalFormatting>
  <x:dataValidations count="1">
    <x:dataValidation type="list" sqref="Z2:Z101">
      <x:formula1>"Verified,Revision requested"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8" hidden="0" customWidth="1"/>
    <x:col min="3" max="3" width="3" hidden="0" customWidth="1"/>
    <x:col min="4" max="4" width="8" hidden="0" customWidth="1"/>
    <x:col min="5" max="5" width="36" hidden="0" customWidth="1"/>
    <x:col min="6" max="6" width="36" hidden="0" customWidth="1"/>
  </x:cols>
  <x:sheetData>
    <x:row r="2">
      <x:c r="A2" s="34" t="str">
        <x:v>Title-candidate structured public-record review</x:v>
      </x:c>
      <x:c r="B2" s="34"/>
      <x:c r="C2" s="34"/>
      <x:c r="D2" s="34"/>
      <x:c r="E2" s="34"/>
      <x:c r="F2" s="34"/>
    </x:row>
    <x:row r="3">
      <x:c r="A3" s="36"/>
      <x:c r="B3" s="36"/>
      <x:c r="C3" s="36"/>
      <x:c r="D3" s="36"/>
      <x:c r="E3" s="36"/>
      <x:c r="F3" s="36"/>
    </x:row>
    <x:row r="5">
      <x:c r="A5" s="42" t="str">
        <x:v>Review measure</x:v>
      </x:c>
      <x:c r="B5" s="42" t="str">
        <x:v>Value</x:v>
      </x:c>
      <x:c r="C5" s="45"/>
      <x:c r="D5" s="42" t="str">
        <x:v>Review record</x:v>
      </x:c>
      <x:c r="E5" s="42"/>
      <x:c r="F5" s="42"/>
    </x:row>
    <x:row r="6" ht="37" customHeight="1">
      <x:c r="A6" s="45" t="str">
        <x:v>Sampled links</x:v>
      </x:c>
      <x:c r="B6" s="45" t="n">
        <x:v>100</x:v>
      </x:c>
      <x:c r="C6" s="45"/>
      <x:c r="D6" s="52" t="str">
        <x:v>1</x:v>
      </x:c>
      <x:c r="E6" s="52" t="str">
        <x:v>The structured public-record review contains 100 classifications and cited sources.</x:v>
      </x:c>
      <x:c r="F6" s="52"/>
    </x:row>
    <x:row r="7" ht="37" customHeight="1">
      <x:c r="A7" s="45" t="str">
        <x:v>Confirmed same patient/sample/material</x:v>
      </x:c>
      <x:c r="B7" s="45" t="n">
        <x:f>COUNTIF(Audit!$T$2:$T$101,"confirmed same patient/sample/material")</x:f>
        <x:v>40</x:v>
      </x:c>
      <x:c r="C7" s="45"/>
      <x:c r="D7" s="52" t="str">
        <x:v>2</x:v>
      </x:c>
      <x:c r="E7" s="52" t="str">
        <x:v>Sole author Naol Beyene manually verified every row on 2026-09-27.</x:v>
      </x:c>
      <x:c r="F7" s="52"/>
    </x:row>
    <x:row r="8" ht="37" customHeight="1">
      <x:c r="A8" s="45" t="str">
        <x:v>Probable same patient/material</x:v>
      </x:c>
      <x:c r="B8" s="45" t="n">
        <x:f>COUNTIF(Audit!$T$2:$T$101,"probable same patient/material")</x:f>
        <x:v>2</x:v>
      </x:c>
      <x:c r="C8" s="45"/>
      <x:c r="D8" s="52" t="str">
        <x:v>3</x:v>
      </x:c>
      <x:c r="E8" s="52" t="str">
        <x:v>Column Z records author verification; column AA preserves the author note.</x:v>
      </x:c>
      <x:c r="F8" s="52"/>
    </x:row>
    <x:row r="9" ht="37" customHeight="1">
      <x:c r="A9" s="45" t="str">
        <x:v>Related study/model; identity not established</x:v>
      </x:c>
      <x:c r="B9" s="45" t="n">
        <x:f>COUNTIF(Audit!$T$2:$T$101,"related study/model but identity not established")</x:f>
        <x:v>34</x:v>
      </x:c>
      <x:c r="C9" s="45"/>
      <x:c r="D9" s="52" t="str">
        <x:v>4</x:v>
      </x:c>
      <x:c r="E9" s="52" t="str">
        <x:v>Do not convert related/model-only or indeterminate records into negatives.</x:v>
      </x:c>
      <x:c r="F9" s="52"/>
    </x:row>
    <x:row r="10" ht="37" customHeight="1">
      <x:c r="A10" s="45" t="str">
        <x:v>Evidence against identity</x:v>
      </x:c>
      <x:c r="B10" s="45" t="n">
        <x:f>COUNTIF(Audit!$T$2:$T$101,"evidence against identity")</x:f>
        <x:v>23</x:v>
      </x:c>
      <x:c r="C10" s="45"/>
      <x:c r="D10" s="52" t="str">
        <x:v>5</x:v>
      </x:c>
      <x:c r="E10" s="52" t="str">
        <x:v>Confirmed plus probable is a support fraction in this deterministic sample, not title-rule precision.</x:v>
      </x:c>
      <x:c r="F10" s="52"/>
    </x:row>
    <x:row r="11" ht="37" customHeight="1">
      <x:c r="A11" s="45" t="str">
        <x:v>Indeterminate</x:v>
      </x:c>
      <x:c r="B11" s="45" t="n">
        <x:f>COUNTIF(Audit!$T$2:$T$101,"indeterminate")</x:f>
        <x:v>1</x:v>
      </x:c>
      <x:c r="C11" s="45"/>
      <x:c r="D11" s="52" t="str">
        <x:v>6</x:v>
      </x:c>
      <x:c r="E11" s="52" t="str">
        <x:v>No formal binomial confidence interval is used because links are clustered within series pairs.</x:v>
      </x:c>
      <x:c r="F11" s="52"/>
    </x:row>
    <x:row r="12" ht="37" customHeight="1">
      <x:c r="A12" s="45" t="str">
        <x:v>Affirmative public-record support</x:v>
      </x:c>
      <x:c r="B12" s="45" t="n">
        <x:f>B7+B8</x:f>
        <x:v>42</x:v>
      </x:c>
      <x:c r="C12" s="45"/>
      <x:c r="D12" s="52" t="str">
        <x:v>7</x:v>
      </x:c>
      <x:c r="E12" s="52" t="str">
        <x:v>The author sign-off verifies the review record; it is not an external accuracy study.</x:v>
      </x:c>
      <x:c r="F12" s="52"/>
    </x:row>
    <x:row r="13">
      <x:c r="A13" s="45" t="str">
        <x:v>Support fraction in this deterministic sample</x:v>
      </x:c>
      <x:c r="B13" s="46" t="n">
        <x:f>B12/B6</x:f>
        <x:v>0.42</x:v>
      </x:c>
      <x:c r="C13" s="45"/>
      <x:c r="D13" s="45"/>
      <x:c r="E13" s="45"/>
      <x:c r="F13" s="45"/>
    </x:row>
    <x:row r="14">
      <x:c r="A14" s="45" t="str">
        <x:v>Author-verified rows</x:v>
      </x:c>
      <x:c r="B14" s="45" t="n">
        <x:f>COUNTIF(Audit!$Z$2:$Z$101,"Verified")</x:f>
        <x:v>100</x:v>
      </x:c>
      <x:c r="C14" s="45"/>
      <x:c r="D14" s="45"/>
      <x:c r="E14" s="45"/>
      <x:c r="F14" s="45"/>
    </x:row>
    <x:row r="15">
      <x:c r="A15" s="45" t="str">
        <x:v>Rows not author-verified</x:v>
      </x:c>
      <x:c r="B15" s="45" t="n">
        <x:f>B6-B14</x:f>
        <x:v>0</x:v>
      </x:c>
      <x:c r="C15" s="45"/>
      <x:c r="D15" s="45"/>
      <x:c r="E15" s="45"/>
      <x:c r="F15" s="45"/>
    </x:row>
  </x:sheetData>
  <x:mergeCells>
    <x:mergeCell ref="A2:F2"/>
  </x:mergeCells>
  <x:pageMargins left="0.7" right="0.7" top="0.75" bottom="0.75" header="0.3" footer="0.3"/>
</x:worksheet>
</file>